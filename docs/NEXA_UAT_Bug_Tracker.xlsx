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acker" sheetId="1" r:id="rId4"/>
    <sheet state="visible" name="Dashboard" sheetId="2" r:id="rId5"/>
    <sheet state="visible" name="Lists" sheetId="3" r:id="rId6"/>
    <sheet state="visible" name="How to Use" sheetId="4" r:id="rId7"/>
  </sheets>
  <definedNames/>
  <calcPr/>
  <extLst>
    <ext uri="GoogleSheetsCustomDataVersion2">
      <go:sheetsCustomData xmlns:go="http://customooxmlschemas.google.com/" r:id="rId8" roundtripDataChecksum="/7S0SQ2V5bSNyiKRjmljrDlWG0Mjpz9cIvM2Vb9eiek="/>
    </ext>
  </extLst>
</workbook>
</file>

<file path=xl/sharedStrings.xml><?xml version="1.0" encoding="utf-8"?>
<sst xmlns="http://schemas.openxmlformats.org/spreadsheetml/2006/main" count="261" uniqueCount="161">
  <si>
    <t>Bug ID</t>
  </si>
  <si>
    <t>Date Reported</t>
  </si>
  <si>
    <t>Reported By</t>
  </si>
  <si>
    <t>App Area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</si>
  <si>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</si>
  <si>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</si>
  <si>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</si>
  <si>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</si>
  <si>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</si>
  <si>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</si>
  <si>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</si>
  <si>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</si>
  <si>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Assigned To</t>
  </si>
  <si>
    <t>Target Fix Date</t>
  </si>
  <si>
    <t>Date Fixed</t>
  </si>
  <si>
    <t>Retest Date</t>
  </si>
  <si>
    <t>Retest Result</t>
  </si>
  <si>
    <t>Root Cause</t>
  </si>
  <si>
    <t>Fix Notes</t>
  </si>
  <si>
    <t>Related Test Case ID</t>
  </si>
  <si>
    <t>Evidence Link</t>
  </si>
  <si>
    <t>Comments</t>
  </si>
  <si>
    <t>Age (Days)</t>
  </si>
  <si>
    <t>BUG-001</t>
  </si>
  <si>
    <t>UAT Tester</t>
  </si>
  <si>
    <t>Customer App</t>
  </si>
  <si>
    <t>Vehicle Management</t>
  </si>
  <si>
    <t>The same vehicle can be registered multiple times</t>
  </si>
  <si>
    <t xml:space="preserve">Log in, go to the garge and register a vehicle. register the same vehicle a second time </t>
  </si>
  <si>
    <t>The same vehicle should not be registered multiple times</t>
  </si>
  <si>
    <t>Duplicate registeration of a vehicle is suceessful</t>
  </si>
  <si>
    <t>Major</t>
  </si>
  <si>
    <t>High</t>
  </si>
  <si>
    <t>New</t>
  </si>
  <si>
    <t>VEH-05</t>
  </si>
  <si>
    <t>BUG-002</t>
  </si>
  <si>
    <t>Booking</t>
  </si>
  <si>
    <t>Booking time slot does not captures all timeslot including the seasonal ones</t>
  </si>
  <si>
    <t xml:space="preserve">Open booking and enter all the required fields, on the booking time field select one of the various time slots that is most sutable </t>
  </si>
  <si>
    <t>Time slot selected</t>
  </si>
  <si>
    <t xml:space="preserve">The available time slots does not cover all the time slots that a customer can pick </t>
  </si>
  <si>
    <t>Critical</t>
  </si>
  <si>
    <t>Use the Seasional sessions table for details of timeslots</t>
  </si>
  <si>
    <t>ADM-VEN-01</t>
  </si>
  <si>
    <t>BUG-003</t>
  </si>
  <si>
    <t>No service phone no field</t>
  </si>
  <si>
    <t>Open booking and while entering the required details for the booking, there is no phone no captured for the booking</t>
  </si>
  <si>
    <t>Service phone no shoud be captured</t>
  </si>
  <si>
    <t>No field to enter Phone no</t>
  </si>
  <si>
    <t>BOOK-01</t>
  </si>
  <si>
    <t>BUG-004</t>
  </si>
  <si>
    <t>Cancellation</t>
  </si>
  <si>
    <t>Cancellation policy document not included</t>
  </si>
  <si>
    <t>Open bookings to view list of bookings, select the booking to cancel and click on cnacel</t>
  </si>
  <si>
    <t>Cancellation pop up should show with a link to the full cancellation policy</t>
  </si>
  <si>
    <t>Cancellation pop up shows, but there is no link to cancellation policy</t>
  </si>
  <si>
    <t>Cancellation policy doc will be provided</t>
  </si>
  <si>
    <t>CAN-01</t>
  </si>
  <si>
    <t>BUG-005</t>
  </si>
  <si>
    <t>Service address field cannot be verified</t>
  </si>
  <si>
    <t>Open booking and enter all the required fields, on theservice address field enter any address arbitary value</t>
  </si>
  <si>
    <t>Service address provided should be a UK(Aberdeen, Scotland precisely) address</t>
  </si>
  <si>
    <t>User can enter any value and the system accepts it</t>
  </si>
  <si>
    <t>Use the Postcode Address Lookup API
for address  verification. Doc will be provided</t>
  </si>
  <si>
    <t>BUG-006</t>
  </si>
  <si>
    <t>Error Handling</t>
  </si>
  <si>
    <t>Session does not timeout after hours away</t>
  </si>
  <si>
    <t>Log in to app and leave app for more than 10 min</t>
  </si>
  <si>
    <t>Session shoukd timeout sfter begin away from app after some time</t>
  </si>
  <si>
    <t>Session remains active even after hours of inactivity</t>
  </si>
  <si>
    <t>ERR-CUS-12</t>
  </si>
  <si>
    <t>BUG-007</t>
  </si>
  <si>
    <t>Sign in page does not allow user toggle password on and off</t>
  </si>
  <si>
    <t>Go to login page and enter email and password. The user cannot view the password  he/she is entering</t>
  </si>
  <si>
    <t>User should be able to toggle on or off the password field to view password being enteed</t>
  </si>
  <si>
    <t>User cannot see the password being entered</t>
  </si>
  <si>
    <t>Minor</t>
  </si>
  <si>
    <t>Medium</t>
  </si>
  <si>
    <t>ERR-CUS-01</t>
  </si>
  <si>
    <t>BUG-008</t>
  </si>
  <si>
    <t>Error message during network failure</t>
  </si>
  <si>
    <t>BUG-009</t>
  </si>
  <si>
    <t>Both</t>
  </si>
  <si>
    <t>Promotions</t>
  </si>
  <si>
    <t>Discrepancy with the discount calculations</t>
  </si>
  <si>
    <t>Created a 10% discount promotion for first time sign-ups in the Admin app and applied to all users. In the user app book a wash, at review booking you would notice a miscalulation to total</t>
  </si>
  <si>
    <t>10% discount on the mini-valet service(only) should bring the total to the mini-valet cost -10%</t>
  </si>
  <si>
    <t>A total of more that 10% was deducted from the mini-valet service(Total for standard wash should have been 22.5 but i got 19.85)</t>
  </si>
  <si>
    <t>PRO-CUS-03</t>
  </si>
  <si>
    <t>BUG-010</t>
  </si>
  <si>
    <t>Admin App</t>
  </si>
  <si>
    <t>Dashboard</t>
  </si>
  <si>
    <t>Total Renenue does not compute</t>
  </si>
  <si>
    <t>Book a wash on the customer app. Log in to admin app, on the dashboard, the tota revenue does not compute</t>
  </si>
  <si>
    <t>Total revenue after all bookings should be visible on the dash board</t>
  </si>
  <si>
    <t>Totla revenue remains at 0.00</t>
  </si>
  <si>
    <t>BUG-011</t>
  </si>
  <si>
    <t>Admin Authentication</t>
  </si>
  <si>
    <t>Admin user session foes not expire after extended periods</t>
  </si>
  <si>
    <t>Log in to the admin portal and leave the account logged in for extended periods</t>
  </si>
  <si>
    <t>Admin user should be logged out after a specified period</t>
  </si>
  <si>
    <t>User remains logged in even after 24 hours</t>
  </si>
  <si>
    <t>ADM-AUTH-04</t>
  </si>
  <si>
    <t>NEXA UAT Bug Tracker Dashboard</t>
  </si>
  <si>
    <t>Metric</t>
  </si>
  <si>
    <t>Value</t>
  </si>
  <si>
    <t>Notes</t>
  </si>
  <si>
    <t>Total Bugs</t>
  </si>
  <si>
    <t>All logged bugs</t>
  </si>
  <si>
    <t>Open Bugs</t>
  </si>
  <si>
    <t>Anything not fixed/closed</t>
  </si>
  <si>
    <t>Fixed Bugs</t>
  </si>
  <si>
    <t>Ready for closure or release note</t>
  </si>
  <si>
    <t>Closed Bugs</t>
  </si>
  <si>
    <t>Verified and closed</t>
  </si>
  <si>
    <t>Critical / High Priority</t>
  </si>
  <si>
    <t>Needs urgent action</t>
  </si>
  <si>
    <t>Overdue Open Bugs</t>
  </si>
  <si>
    <t>Target fix date has passed</t>
  </si>
  <si>
    <t>Count</t>
  </si>
  <si>
    <t>Triaged</t>
  </si>
  <si>
    <t>In Progress</t>
  </si>
  <si>
    <t>Ready for Retest</t>
  </si>
  <si>
    <t>Low</t>
  </si>
  <si>
    <t>Retesting</t>
  </si>
  <si>
    <t>Fixed</t>
  </si>
  <si>
    <t>Closed</t>
  </si>
  <si>
    <t>Rejected</t>
  </si>
  <si>
    <t>Duplicate</t>
  </si>
  <si>
    <t>Environment</t>
  </si>
  <si>
    <t>Blocker</t>
  </si>
  <si>
    <t>Authentication</t>
  </si>
  <si>
    <t>UAT</t>
  </si>
  <si>
    <t>Staging</t>
  </si>
  <si>
    <t>Production</t>
  </si>
  <si>
    <t>Payment</t>
  </si>
  <si>
    <t>Development</t>
  </si>
  <si>
    <t>Cosmetic</t>
  </si>
  <si>
    <t>Review</t>
  </si>
  <si>
    <t>Booking Management</t>
  </si>
  <si>
    <t>Vendor Assignment</t>
  </si>
  <si>
    <t>Payment &amp; Refund</t>
  </si>
  <si>
    <t>Notifications</t>
  </si>
  <si>
    <t>Security / Access Control</t>
  </si>
  <si>
    <t>How to Use the NEXA UAT Bug Tracker</t>
  </si>
  <si>
    <t>Step</t>
  </si>
  <si>
    <t>Instruction</t>
  </si>
  <si>
    <t>1</t>
  </si>
  <si>
    <t>Log every defect on the Bug Tracker sheet using one row per bug.</t>
  </si>
  <si>
    <t>2</t>
  </si>
  <si>
    <t>Use the Bug ID format BUG-001, BUG-002, etc.</t>
  </si>
  <si>
    <t>3</t>
  </si>
  <si>
    <t>Set Severity based on user/business impact and Priority based on fix urgency.</t>
  </si>
  <si>
    <t>4</t>
  </si>
  <si>
    <t>Update Status as the bug moves from New → Triaged → In Progress → Ready for Retest → Fixed → Closed.</t>
  </si>
  <si>
    <t>5</t>
  </si>
  <si>
    <t>Add the related UAT test case ID, such as AUTH-01 or ADM-PAY-04, for traceability.</t>
  </si>
  <si>
    <t>6</t>
  </si>
  <si>
    <t>Use Evidence Link for screenshots, screen recordings, logs, or ticket links.</t>
  </si>
  <si>
    <t>7</t>
  </si>
  <si>
    <t>Dashboard updates automatically from the Bug Tracker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</si>
</sst>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FFFFFF"/>
      <name val="Carlito"/>
    </font>
    <font/>
    <font>
      <b/>
      <sz val="11.0"/>
      <color theme="1"/>
      <name val="Carlito"/>
    </font>
    <font>
      <b/>
      <sz val="14.0"/>
      <color theme="1"/>
      <name val="Carlito"/>
    </font>
    <font>
      <color theme="1"/>
      <name val="Carlito"/>
      <scheme val="minor"/>
    </font>
    <font>
      <b/>
      <sz val="15.0"/>
      <color rgb="FFFFFF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0A192F"/>
        <bgColor rgb="FF0A192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" xfId="0" applyAlignment="1" applyFont="1" applyNumberFormat="1">
      <alignment shrinkToFit="0" vertical="top" wrapText="1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/>
    </xf>
    <xf borderId="2" fillId="2" fontId="8" numFmtId="0" xfId="0" applyAlignment="1" applyBorder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solid">
          <fgColor rgb="FFFEE2E2"/>
          <bgColor rgb="FFFEE2E2"/>
        </patternFill>
      </fill>
      <border/>
    </dxf>
    <dxf>
      <font>
        <b/>
      </font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</dxfs>
  <tableStyles count="1">
    <tableStyle count="3" pivot="0" name="Bug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Dashboard!$A$13:$A$21</c:f>
            </c:strRef>
          </c:cat>
          <c:val>
            <c:numRef>
              <c:f>Dashboard!$B$13:$B$21</c:f>
              <c:numCache/>
            </c:numRef>
          </c:val>
        </c:ser>
        <c:axId val="305320159"/>
        <c:axId val="2113868214"/>
      </c:barChart>
      <c:catAx>
        <c:axId val="30532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868214"/>
      </c:catAx>
      <c:valAx>
        <c:axId val="2113868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3201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Dashboard!$D$13:$D$16</c:f>
            </c:strRef>
          </c:cat>
          <c:val>
            <c:numRef>
              <c:f>Dashboard!$E$13:$E$16</c:f>
              <c:numCache/>
            </c:numRef>
          </c:val>
        </c:ser>
        <c:axId val="577949715"/>
        <c:axId val="1770253123"/>
      </c:barChart>
      <c:catAx>
        <c:axId val="577949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253123"/>
      </c:catAx>
      <c:valAx>
        <c:axId val="1770253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94971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0</xdr:rowOff>
    </xdr:from>
    <xdr:ext cx="8534400" cy="3086100"/>
    <xdr:graphicFrame>
      <xdr:nvGraphicFramePr>
        <xdr:cNvPr id="107524513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019675" cy="3086100"/>
    <xdr:graphicFrame>
      <xdr:nvGraphicFramePr>
        <xdr:cNvPr id="4444490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00" displayName="Table_1" name="Table_1" id="1">
  <tableColumns count="23">
    <tableColumn name="Bug ID" id="1"/>
    <tableColumn name="Date Reported" id="2"/>
    <tableColumn name="Reported By" id="3"/>
    <tableColumn name="App Area" id="4"/>
    <tableColumn name="Module" id="5"/>
    <tableColumn name="Bug Summary" id="6"/>
    <tableColumn name="Steps to Reproduce" id="7"/>
    <tableColumn name="Expected Result" id="8"/>
    <tableColumn name="Actual Result" id="9"/>
    <tableColumn name="Severity" id="10"/>
    <tableColumn name="Priority" id="11"/>
    <tableColumn name="Status" id="12"/>
    <tableColumn name="Assigned To" id="13"/>
    <tableColumn name="Target Fix Date" id="14"/>
    <tableColumn name="Date Fixed" id="15"/>
    <tableColumn name="Retest Date" id="16"/>
    <tableColumn name="Retest Result" id="17"/>
    <tableColumn name="Root Cause" id="18"/>
    <tableColumn name="Fix Notes" id="19"/>
    <tableColumn name="Related Test Case ID" id="20"/>
    <tableColumn name="Evidence Link" id="21"/>
    <tableColumn name="Comments" id="22"/>
    <tableColumn name="Age (Days)" id="23"/>
  </tableColumns>
  <tableStyleInfo name="Bug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4" width="16.0"/>
    <col customWidth="1" min="5" max="5" width="22.0"/>
    <col customWidth="1" min="6" max="6" width="32.0"/>
    <col customWidth="1" min="7" max="7" width="40.0"/>
    <col customWidth="1" min="8" max="9" width="34.0"/>
    <col customWidth="1" min="10" max="11" width="12.0"/>
    <col customWidth="1" min="12" max="13" width="18.0"/>
    <col customWidth="1" min="14" max="16" width="14.0"/>
    <col customWidth="1" min="17" max="17" width="16.0"/>
    <col customWidth="1" min="18" max="18" width="25.0"/>
    <col customWidth="1" min="19" max="19" width="32.0"/>
    <col customWidth="1" min="20" max="20" width="18.0"/>
    <col customWidth="1" min="21" max="21" width="24.0"/>
    <col customWidth="1" min="22" max="22" width="28.0"/>
    <col customWidth="1" min="23" max="23" width="12.0"/>
    <col customWidth="1" min="2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3.5" customHeight="1">
      <c r="A2" s="2" t="s">
        <v>23</v>
      </c>
      <c r="B2" s="3">
        <v>46180.0</v>
      </c>
      <c r="C2" s="2" t="s">
        <v>24</v>
      </c>
      <c r="D2" s="2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2" t="s">
        <v>31</v>
      </c>
      <c r="K2" s="2" t="s">
        <v>32</v>
      </c>
      <c r="L2" s="2" t="s">
        <v>33</v>
      </c>
      <c r="M2" s="2"/>
      <c r="N2" s="3">
        <v>46185.0</v>
      </c>
      <c r="O2" s="5"/>
      <c r="P2" s="5"/>
      <c r="Q2" s="2"/>
      <c r="R2" s="2"/>
      <c r="S2" s="2"/>
      <c r="T2" s="4" t="s">
        <v>34</v>
      </c>
      <c r="U2" s="2"/>
      <c r="V2" s="2"/>
      <c r="W2" s="6"/>
    </row>
    <row r="3" ht="13.5" customHeight="1">
      <c r="A3" s="2" t="s">
        <v>35</v>
      </c>
      <c r="B3" s="3">
        <v>46180.0</v>
      </c>
      <c r="C3" s="2" t="s">
        <v>24</v>
      </c>
      <c r="D3" s="4" t="s">
        <v>25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2" t="s">
        <v>41</v>
      </c>
      <c r="K3" s="2" t="s">
        <v>41</v>
      </c>
      <c r="L3" s="4" t="s">
        <v>33</v>
      </c>
      <c r="M3" s="2"/>
      <c r="N3" s="3">
        <v>46185.0</v>
      </c>
      <c r="O3" s="5"/>
      <c r="P3" s="5"/>
      <c r="Q3" s="2"/>
      <c r="R3" s="2"/>
      <c r="S3" s="4" t="s">
        <v>42</v>
      </c>
      <c r="T3" s="2" t="s">
        <v>43</v>
      </c>
      <c r="U3" s="2"/>
      <c r="V3" s="2"/>
      <c r="W3" s="6"/>
    </row>
    <row r="4" ht="13.5" customHeight="1">
      <c r="A4" s="2" t="s">
        <v>44</v>
      </c>
      <c r="B4" s="3">
        <v>46181.0</v>
      </c>
      <c r="C4" s="2" t="s">
        <v>24</v>
      </c>
      <c r="D4" s="2" t="s">
        <v>25</v>
      </c>
      <c r="E4" s="4" t="s">
        <v>36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41</v>
      </c>
      <c r="K4" s="4" t="s">
        <v>41</v>
      </c>
      <c r="L4" s="4" t="s">
        <v>33</v>
      </c>
      <c r="M4" s="2"/>
      <c r="N4" s="3">
        <v>46185.0</v>
      </c>
      <c r="O4" s="5"/>
      <c r="P4" s="5"/>
      <c r="Q4" s="2"/>
      <c r="R4" s="2"/>
      <c r="S4" s="2"/>
      <c r="T4" s="4" t="s">
        <v>49</v>
      </c>
      <c r="U4" s="2"/>
      <c r="V4" s="2"/>
      <c r="W4" s="6"/>
    </row>
    <row r="5" ht="13.5" customHeight="1">
      <c r="A5" s="2" t="s">
        <v>50</v>
      </c>
      <c r="B5" s="3">
        <v>46181.0</v>
      </c>
      <c r="C5" s="2" t="s">
        <v>24</v>
      </c>
      <c r="D5" s="4" t="s">
        <v>25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31</v>
      </c>
      <c r="K5" s="4" t="s">
        <v>32</v>
      </c>
      <c r="L5" s="4" t="s">
        <v>33</v>
      </c>
      <c r="M5" s="2"/>
      <c r="N5" s="3">
        <v>46185.0</v>
      </c>
      <c r="O5" s="5"/>
      <c r="P5" s="5"/>
      <c r="Q5" s="2"/>
      <c r="R5" s="2"/>
      <c r="S5" s="4" t="s">
        <v>56</v>
      </c>
      <c r="T5" s="4" t="s">
        <v>57</v>
      </c>
      <c r="U5" s="2"/>
      <c r="V5" s="2"/>
      <c r="W5" s="6"/>
    </row>
    <row r="6" ht="13.5" customHeight="1">
      <c r="A6" s="2" t="s">
        <v>58</v>
      </c>
      <c r="B6" s="3">
        <v>46181.0</v>
      </c>
      <c r="C6" s="2" t="s">
        <v>24</v>
      </c>
      <c r="D6" s="4" t="s">
        <v>25</v>
      </c>
      <c r="E6" s="4" t="s">
        <v>36</v>
      </c>
      <c r="F6" s="4" t="s">
        <v>59</v>
      </c>
      <c r="G6" s="4" t="s">
        <v>60</v>
      </c>
      <c r="H6" s="4" t="s">
        <v>61</v>
      </c>
      <c r="I6" s="4" t="s">
        <v>62</v>
      </c>
      <c r="J6" s="4" t="s">
        <v>41</v>
      </c>
      <c r="K6" s="4" t="s">
        <v>32</v>
      </c>
      <c r="L6" s="4" t="s">
        <v>33</v>
      </c>
      <c r="M6" s="2"/>
      <c r="N6" s="3">
        <v>46185.0</v>
      </c>
      <c r="O6" s="5"/>
      <c r="P6" s="5"/>
      <c r="Q6" s="2"/>
      <c r="R6" s="2"/>
      <c r="S6" s="4" t="s">
        <v>63</v>
      </c>
      <c r="T6" s="4" t="s">
        <v>49</v>
      </c>
      <c r="U6" s="2"/>
      <c r="V6" s="2"/>
      <c r="W6" s="6"/>
    </row>
    <row r="7" ht="13.5" customHeight="1">
      <c r="A7" s="2" t="s">
        <v>64</v>
      </c>
      <c r="B7" s="3">
        <v>46181.0</v>
      </c>
      <c r="C7" s="2" t="s">
        <v>24</v>
      </c>
      <c r="D7" s="4" t="s">
        <v>25</v>
      </c>
      <c r="E7" s="4" t="s">
        <v>65</v>
      </c>
      <c r="F7" s="4" t="s">
        <v>66</v>
      </c>
      <c r="G7" s="4" t="s">
        <v>67</v>
      </c>
      <c r="H7" s="4" t="s">
        <v>68</v>
      </c>
      <c r="I7" s="4" t="s">
        <v>69</v>
      </c>
      <c r="J7" s="4" t="s">
        <v>41</v>
      </c>
      <c r="K7" s="4" t="s">
        <v>41</v>
      </c>
      <c r="L7" s="4" t="s">
        <v>33</v>
      </c>
      <c r="M7" s="2"/>
      <c r="N7" s="3">
        <v>46185.0</v>
      </c>
      <c r="O7" s="5"/>
      <c r="P7" s="5"/>
      <c r="Q7" s="2"/>
      <c r="R7" s="2"/>
      <c r="S7" s="2"/>
      <c r="T7" s="4" t="s">
        <v>70</v>
      </c>
      <c r="U7" s="2"/>
      <c r="V7" s="2"/>
      <c r="W7" s="6"/>
    </row>
    <row r="8" ht="13.5" customHeight="1">
      <c r="A8" s="2" t="s">
        <v>71</v>
      </c>
      <c r="B8" s="3">
        <v>46181.0</v>
      </c>
      <c r="C8" s="2" t="s">
        <v>24</v>
      </c>
      <c r="D8" s="4" t="s">
        <v>25</v>
      </c>
      <c r="E8" s="4" t="s">
        <v>65</v>
      </c>
      <c r="F8" s="4" t="s">
        <v>72</v>
      </c>
      <c r="G8" s="4" t="s">
        <v>73</v>
      </c>
      <c r="H8" s="4" t="s">
        <v>74</v>
      </c>
      <c r="I8" s="4" t="s">
        <v>75</v>
      </c>
      <c r="J8" s="4" t="s">
        <v>76</v>
      </c>
      <c r="K8" s="4" t="s">
        <v>77</v>
      </c>
      <c r="L8" s="4" t="s">
        <v>33</v>
      </c>
      <c r="M8" s="2"/>
      <c r="N8" s="3">
        <v>46185.0</v>
      </c>
      <c r="O8" s="5"/>
      <c r="P8" s="5"/>
      <c r="Q8" s="2"/>
      <c r="R8" s="2"/>
      <c r="S8" s="2"/>
      <c r="T8" s="4" t="s">
        <v>78</v>
      </c>
      <c r="U8" s="2"/>
      <c r="V8" s="2"/>
      <c r="W8" s="6">
        <f t="shared" ref="W8:W200" si="1">IF(B8="","",TODAY()-B8)</f>
        <v>7</v>
      </c>
    </row>
    <row r="9" ht="13.5" customHeight="1">
      <c r="A9" s="2" t="s">
        <v>79</v>
      </c>
      <c r="B9" s="3">
        <v>46181.0</v>
      </c>
      <c r="C9" s="2" t="s">
        <v>24</v>
      </c>
      <c r="D9" s="4" t="s">
        <v>25</v>
      </c>
      <c r="E9" s="4" t="s">
        <v>65</v>
      </c>
      <c r="F9" s="4" t="s">
        <v>80</v>
      </c>
      <c r="G9" s="2"/>
      <c r="H9" s="2"/>
      <c r="I9" s="2"/>
      <c r="J9" s="2"/>
      <c r="K9" s="2"/>
      <c r="L9" s="2"/>
      <c r="M9" s="2"/>
      <c r="N9" s="5"/>
      <c r="O9" s="5"/>
      <c r="P9" s="5"/>
      <c r="Q9" s="2"/>
      <c r="R9" s="2"/>
      <c r="S9" s="2"/>
      <c r="T9" s="2"/>
      <c r="U9" s="2"/>
      <c r="V9" s="2"/>
      <c r="W9" s="6">
        <f t="shared" si="1"/>
        <v>7</v>
      </c>
    </row>
    <row r="10" ht="13.5" customHeight="1">
      <c r="A10" s="2" t="s">
        <v>81</v>
      </c>
      <c r="B10" s="3">
        <v>46185.0</v>
      </c>
      <c r="C10" s="4" t="s">
        <v>24</v>
      </c>
      <c r="D10" s="4" t="s">
        <v>82</v>
      </c>
      <c r="E10" s="4" t="s">
        <v>83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41</v>
      </c>
      <c r="K10" s="4" t="s">
        <v>41</v>
      </c>
      <c r="L10" s="4" t="s">
        <v>33</v>
      </c>
      <c r="M10" s="2"/>
      <c r="N10" s="3">
        <v>46190.0</v>
      </c>
      <c r="O10" s="5"/>
      <c r="P10" s="5"/>
      <c r="Q10" s="2"/>
      <c r="R10" s="2"/>
      <c r="S10" s="2"/>
      <c r="T10" s="4" t="s">
        <v>88</v>
      </c>
      <c r="U10" s="2"/>
      <c r="V10" s="2"/>
      <c r="W10" s="6">
        <f t="shared" si="1"/>
        <v>3</v>
      </c>
    </row>
    <row r="11" ht="13.5" customHeight="1">
      <c r="A11" s="2" t="s">
        <v>89</v>
      </c>
      <c r="B11" s="3">
        <v>46188.0</v>
      </c>
      <c r="C11" s="4" t="s">
        <v>24</v>
      </c>
      <c r="D11" s="4" t="s">
        <v>90</v>
      </c>
      <c r="E11" s="4" t="s">
        <v>91</v>
      </c>
      <c r="F11" s="4" t="s">
        <v>92</v>
      </c>
      <c r="G11" s="4" t="s">
        <v>93</v>
      </c>
      <c r="H11" s="4" t="s">
        <v>94</v>
      </c>
      <c r="I11" s="4" t="s">
        <v>95</v>
      </c>
      <c r="J11" s="4" t="s">
        <v>41</v>
      </c>
      <c r="K11" s="4" t="s">
        <v>41</v>
      </c>
      <c r="L11" s="4" t="s">
        <v>33</v>
      </c>
      <c r="M11" s="2"/>
      <c r="N11" s="3">
        <v>46193.0</v>
      </c>
      <c r="O11" s="5"/>
      <c r="P11" s="5"/>
      <c r="Q11" s="2"/>
      <c r="R11" s="2"/>
      <c r="S11" s="2"/>
      <c r="T11" s="2"/>
      <c r="U11" s="2"/>
      <c r="V11" s="2"/>
      <c r="W11" s="6">
        <f t="shared" si="1"/>
        <v>0</v>
      </c>
    </row>
    <row r="12" ht="13.5" customHeight="1">
      <c r="A12" s="2" t="s">
        <v>96</v>
      </c>
      <c r="B12" s="3">
        <v>46188.0</v>
      </c>
      <c r="C12" s="4" t="s">
        <v>24</v>
      </c>
      <c r="D12" s="4" t="s">
        <v>90</v>
      </c>
      <c r="E12" s="4" t="s">
        <v>97</v>
      </c>
      <c r="F12" s="4" t="s">
        <v>98</v>
      </c>
      <c r="G12" s="4" t="s">
        <v>99</v>
      </c>
      <c r="H12" s="4" t="s">
        <v>100</v>
      </c>
      <c r="I12" s="4" t="s">
        <v>101</v>
      </c>
      <c r="J12" s="4" t="s">
        <v>31</v>
      </c>
      <c r="K12" s="4" t="s">
        <v>32</v>
      </c>
      <c r="L12" s="4" t="s">
        <v>33</v>
      </c>
      <c r="M12" s="2"/>
      <c r="N12" s="3">
        <v>46193.0</v>
      </c>
      <c r="O12" s="5"/>
      <c r="P12" s="5"/>
      <c r="Q12" s="2"/>
      <c r="R12" s="2"/>
      <c r="S12" s="2"/>
      <c r="T12" s="4" t="s">
        <v>102</v>
      </c>
      <c r="U12" s="2"/>
      <c r="V12" s="2"/>
      <c r="W12" s="6">
        <f t="shared" si="1"/>
        <v>0</v>
      </c>
    </row>
    <row r="13" ht="13.5" customHeight="1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5"/>
      <c r="P13" s="5"/>
      <c r="Q13" s="2"/>
      <c r="R13" s="2"/>
      <c r="S13" s="2"/>
      <c r="T13" s="2"/>
      <c r="U13" s="2"/>
      <c r="V13" s="2"/>
      <c r="W13" s="6" t="str">
        <f t="shared" si="1"/>
        <v/>
      </c>
    </row>
    <row r="14" ht="13.5" customHeight="1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"/>
      <c r="P14" s="5"/>
      <c r="Q14" s="2"/>
      <c r="R14" s="2"/>
      <c r="S14" s="2"/>
      <c r="T14" s="2"/>
      <c r="U14" s="2"/>
      <c r="V14" s="2"/>
      <c r="W14" s="6" t="str">
        <f t="shared" si="1"/>
        <v/>
      </c>
    </row>
    <row r="15" ht="13.5" customHeight="1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5"/>
      <c r="P15" s="5"/>
      <c r="Q15" s="2"/>
      <c r="R15" s="2"/>
      <c r="S15" s="2"/>
      <c r="T15" s="2"/>
      <c r="U15" s="2"/>
      <c r="V15" s="2"/>
      <c r="W15" s="6" t="str">
        <f t="shared" si="1"/>
        <v/>
      </c>
    </row>
    <row r="16" ht="13.5" customHeight="1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"/>
      <c r="O16" s="5"/>
      <c r="P16" s="5"/>
      <c r="Q16" s="2"/>
      <c r="R16" s="2"/>
      <c r="S16" s="2"/>
      <c r="T16" s="2"/>
      <c r="U16" s="2"/>
      <c r="V16" s="2"/>
      <c r="W16" s="6" t="str">
        <f t="shared" si="1"/>
        <v/>
      </c>
    </row>
    <row r="17" ht="13.5" customHeight="1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  <c r="O17" s="5"/>
      <c r="P17" s="5"/>
      <c r="Q17" s="2"/>
      <c r="R17" s="2"/>
      <c r="S17" s="2"/>
      <c r="T17" s="2"/>
      <c r="U17" s="2"/>
      <c r="V17" s="2"/>
      <c r="W17" s="6" t="str">
        <f t="shared" si="1"/>
        <v/>
      </c>
    </row>
    <row r="18" ht="13.5" customHeight="1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O18" s="5"/>
      <c r="P18" s="5"/>
      <c r="Q18" s="2"/>
      <c r="R18" s="2"/>
      <c r="S18" s="2"/>
      <c r="T18" s="2"/>
      <c r="U18" s="2"/>
      <c r="V18" s="2"/>
      <c r="W18" s="6" t="str">
        <f t="shared" si="1"/>
        <v/>
      </c>
    </row>
    <row r="19" ht="13.5" customHeight="1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O19" s="5"/>
      <c r="P19" s="5"/>
      <c r="Q19" s="2"/>
      <c r="R19" s="2"/>
      <c r="S19" s="2"/>
      <c r="T19" s="2"/>
      <c r="U19" s="2"/>
      <c r="V19" s="2"/>
      <c r="W19" s="6" t="str">
        <f t="shared" si="1"/>
        <v/>
      </c>
    </row>
    <row r="20" ht="13.5" customHeight="1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O20" s="5"/>
      <c r="P20" s="5"/>
      <c r="Q20" s="2"/>
      <c r="R20" s="2"/>
      <c r="S20" s="2"/>
      <c r="T20" s="2"/>
      <c r="U20" s="2"/>
      <c r="V20" s="2"/>
      <c r="W20" s="6" t="str">
        <f t="shared" si="1"/>
        <v/>
      </c>
    </row>
    <row r="21" ht="13.5" customHeight="1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O21" s="5"/>
      <c r="P21" s="5"/>
      <c r="Q21" s="2"/>
      <c r="R21" s="2"/>
      <c r="S21" s="2"/>
      <c r="T21" s="2"/>
      <c r="U21" s="2"/>
      <c r="V21" s="2"/>
      <c r="W21" s="6" t="str">
        <f t="shared" si="1"/>
        <v/>
      </c>
    </row>
    <row r="22" ht="13.5" customHeight="1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O22" s="5"/>
      <c r="P22" s="5"/>
      <c r="Q22" s="2"/>
      <c r="R22" s="2"/>
      <c r="S22" s="2"/>
      <c r="T22" s="2"/>
      <c r="U22" s="2"/>
      <c r="V22" s="2"/>
      <c r="W22" s="6" t="str">
        <f t="shared" si="1"/>
        <v/>
      </c>
    </row>
    <row r="23" ht="13.5" customHeight="1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5"/>
      <c r="O23" s="5"/>
      <c r="P23" s="5"/>
      <c r="Q23" s="2"/>
      <c r="R23" s="2"/>
      <c r="S23" s="2"/>
      <c r="T23" s="2"/>
      <c r="U23" s="2"/>
      <c r="V23" s="2"/>
      <c r="W23" s="6" t="str">
        <f t="shared" si="1"/>
        <v/>
      </c>
    </row>
    <row r="24" ht="13.5" customHeight="1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  <c r="O24" s="5"/>
      <c r="P24" s="5"/>
      <c r="Q24" s="2"/>
      <c r="R24" s="2"/>
      <c r="S24" s="2"/>
      <c r="T24" s="2"/>
      <c r="U24" s="2"/>
      <c r="V24" s="2"/>
      <c r="W24" s="6" t="str">
        <f t="shared" si="1"/>
        <v/>
      </c>
    </row>
    <row r="25" ht="13.5" customHeight="1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5"/>
      <c r="O25" s="5"/>
      <c r="P25" s="5"/>
      <c r="Q25" s="2"/>
      <c r="R25" s="2"/>
      <c r="S25" s="2"/>
      <c r="T25" s="2"/>
      <c r="U25" s="2"/>
      <c r="V25" s="2"/>
      <c r="W25" s="6" t="str">
        <f t="shared" si="1"/>
        <v/>
      </c>
    </row>
    <row r="26" ht="13.5" customHeight="1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5"/>
      <c r="O26" s="5"/>
      <c r="P26" s="5"/>
      <c r="Q26" s="2"/>
      <c r="R26" s="2"/>
      <c r="S26" s="2"/>
      <c r="T26" s="2"/>
      <c r="U26" s="2"/>
      <c r="V26" s="2"/>
      <c r="W26" s="6" t="str">
        <f t="shared" si="1"/>
        <v/>
      </c>
    </row>
    <row r="27" ht="13.5" customHeight="1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5"/>
      <c r="O27" s="5"/>
      <c r="P27" s="5"/>
      <c r="Q27" s="2"/>
      <c r="R27" s="2"/>
      <c r="S27" s="2"/>
      <c r="T27" s="2"/>
      <c r="U27" s="2"/>
      <c r="V27" s="2"/>
      <c r="W27" s="6" t="str">
        <f t="shared" si="1"/>
        <v/>
      </c>
    </row>
    <row r="28" ht="13.5" customHeight="1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5"/>
      <c r="O28" s="5"/>
      <c r="P28" s="5"/>
      <c r="Q28" s="2"/>
      <c r="R28" s="2"/>
      <c r="S28" s="2"/>
      <c r="T28" s="2"/>
      <c r="U28" s="2"/>
      <c r="V28" s="2"/>
      <c r="W28" s="6" t="str">
        <f t="shared" si="1"/>
        <v/>
      </c>
    </row>
    <row r="29" ht="13.5" customHeight="1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5"/>
      <c r="O29" s="5"/>
      <c r="P29" s="5"/>
      <c r="Q29" s="2"/>
      <c r="R29" s="2"/>
      <c r="S29" s="2"/>
      <c r="T29" s="2"/>
      <c r="U29" s="2"/>
      <c r="V29" s="2"/>
      <c r="W29" s="6" t="str">
        <f t="shared" si="1"/>
        <v/>
      </c>
    </row>
    <row r="30" ht="13.5" customHeight="1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5"/>
      <c r="O30" s="5"/>
      <c r="P30" s="5"/>
      <c r="Q30" s="2"/>
      <c r="R30" s="2"/>
      <c r="S30" s="2"/>
      <c r="T30" s="2"/>
      <c r="U30" s="2"/>
      <c r="V30" s="2"/>
      <c r="W30" s="6" t="str">
        <f t="shared" si="1"/>
        <v/>
      </c>
    </row>
    <row r="31" ht="13.5" customHeight="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5"/>
      <c r="O31" s="5"/>
      <c r="P31" s="5"/>
      <c r="Q31" s="2"/>
      <c r="R31" s="2"/>
      <c r="S31" s="2"/>
      <c r="T31" s="2"/>
      <c r="U31" s="2"/>
      <c r="V31" s="2"/>
      <c r="W31" s="6" t="str">
        <f t="shared" si="1"/>
        <v/>
      </c>
    </row>
    <row r="32" ht="13.5" customHeight="1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5"/>
      <c r="O32" s="5"/>
      <c r="P32" s="5"/>
      <c r="Q32" s="2"/>
      <c r="R32" s="2"/>
      <c r="S32" s="2"/>
      <c r="T32" s="2"/>
      <c r="U32" s="2"/>
      <c r="V32" s="2"/>
      <c r="W32" s="6" t="str">
        <f t="shared" si="1"/>
        <v/>
      </c>
    </row>
    <row r="33" ht="13.5" customHeight="1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5"/>
      <c r="O33" s="5"/>
      <c r="P33" s="5"/>
      <c r="Q33" s="2"/>
      <c r="R33" s="2"/>
      <c r="S33" s="2"/>
      <c r="T33" s="2"/>
      <c r="U33" s="2"/>
      <c r="V33" s="2"/>
      <c r="W33" s="6" t="str">
        <f t="shared" si="1"/>
        <v/>
      </c>
    </row>
    <row r="34" ht="13.5" customHeight="1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5"/>
      <c r="O34" s="5"/>
      <c r="P34" s="5"/>
      <c r="Q34" s="2"/>
      <c r="R34" s="2"/>
      <c r="S34" s="2"/>
      <c r="T34" s="2"/>
      <c r="U34" s="2"/>
      <c r="V34" s="2"/>
      <c r="W34" s="6" t="str">
        <f t="shared" si="1"/>
        <v/>
      </c>
    </row>
    <row r="35" ht="13.5" customHeight="1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5"/>
      <c r="O35" s="5"/>
      <c r="P35" s="5"/>
      <c r="Q35" s="2"/>
      <c r="R35" s="2"/>
      <c r="S35" s="2"/>
      <c r="T35" s="2"/>
      <c r="U35" s="2"/>
      <c r="V35" s="2"/>
      <c r="W35" s="6" t="str">
        <f t="shared" si="1"/>
        <v/>
      </c>
    </row>
    <row r="36" ht="13.5" customHeight="1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5"/>
      <c r="O36" s="5"/>
      <c r="P36" s="5"/>
      <c r="Q36" s="2"/>
      <c r="R36" s="2"/>
      <c r="S36" s="2"/>
      <c r="T36" s="2"/>
      <c r="U36" s="2"/>
      <c r="V36" s="2"/>
      <c r="W36" s="6" t="str">
        <f t="shared" si="1"/>
        <v/>
      </c>
    </row>
    <row r="37" ht="13.5" customHeight="1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  <c r="O37" s="5"/>
      <c r="P37" s="5"/>
      <c r="Q37" s="2"/>
      <c r="R37" s="2"/>
      <c r="S37" s="2"/>
      <c r="T37" s="2"/>
      <c r="U37" s="2"/>
      <c r="V37" s="2"/>
      <c r="W37" s="6" t="str">
        <f t="shared" si="1"/>
        <v/>
      </c>
    </row>
    <row r="38" ht="13.5" customHeight="1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5"/>
      <c r="O38" s="5"/>
      <c r="P38" s="5"/>
      <c r="Q38" s="2"/>
      <c r="R38" s="2"/>
      <c r="S38" s="2"/>
      <c r="T38" s="2"/>
      <c r="U38" s="2"/>
      <c r="V38" s="2"/>
      <c r="W38" s="6" t="str">
        <f t="shared" si="1"/>
        <v/>
      </c>
    </row>
    <row r="39" ht="13.5" customHeight="1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5"/>
      <c r="O39" s="5"/>
      <c r="P39" s="5"/>
      <c r="Q39" s="2"/>
      <c r="R39" s="2"/>
      <c r="S39" s="2"/>
      <c r="T39" s="2"/>
      <c r="U39" s="2"/>
      <c r="V39" s="2"/>
      <c r="W39" s="6" t="str">
        <f t="shared" si="1"/>
        <v/>
      </c>
    </row>
    <row r="40" ht="13.5" customHeight="1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5"/>
      <c r="O40" s="5"/>
      <c r="P40" s="5"/>
      <c r="Q40" s="2"/>
      <c r="R40" s="2"/>
      <c r="S40" s="2"/>
      <c r="T40" s="2"/>
      <c r="U40" s="2"/>
      <c r="V40" s="2"/>
      <c r="W40" s="6" t="str">
        <f t="shared" si="1"/>
        <v/>
      </c>
    </row>
    <row r="41" ht="13.5" customHeight="1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  <c r="O41" s="5"/>
      <c r="P41" s="5"/>
      <c r="Q41" s="2"/>
      <c r="R41" s="2"/>
      <c r="S41" s="2"/>
      <c r="T41" s="2"/>
      <c r="U41" s="2"/>
      <c r="V41" s="2"/>
      <c r="W41" s="6" t="str">
        <f t="shared" si="1"/>
        <v/>
      </c>
    </row>
    <row r="42" ht="13.5" customHeight="1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5"/>
      <c r="O42" s="5"/>
      <c r="P42" s="5"/>
      <c r="Q42" s="2"/>
      <c r="R42" s="2"/>
      <c r="S42" s="2"/>
      <c r="T42" s="2"/>
      <c r="U42" s="2"/>
      <c r="V42" s="2"/>
      <c r="W42" s="6" t="str">
        <f t="shared" si="1"/>
        <v/>
      </c>
    </row>
    <row r="43" ht="13.5" customHeight="1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5"/>
      <c r="O43" s="5"/>
      <c r="P43" s="5"/>
      <c r="Q43" s="2"/>
      <c r="R43" s="2"/>
      <c r="S43" s="2"/>
      <c r="T43" s="2"/>
      <c r="U43" s="2"/>
      <c r="V43" s="2"/>
      <c r="W43" s="6" t="str">
        <f t="shared" si="1"/>
        <v/>
      </c>
    </row>
    <row r="44" ht="13.5" customHeight="1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"/>
      <c r="O44" s="5"/>
      <c r="P44" s="5"/>
      <c r="Q44" s="2"/>
      <c r="R44" s="2"/>
      <c r="S44" s="2"/>
      <c r="T44" s="2"/>
      <c r="U44" s="2"/>
      <c r="V44" s="2"/>
      <c r="W44" s="6" t="str">
        <f t="shared" si="1"/>
        <v/>
      </c>
    </row>
    <row r="45" ht="13.5" customHeight="1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  <c r="O45" s="5"/>
      <c r="P45" s="5"/>
      <c r="Q45" s="2"/>
      <c r="R45" s="2"/>
      <c r="S45" s="2"/>
      <c r="T45" s="2"/>
      <c r="U45" s="2"/>
      <c r="V45" s="2"/>
      <c r="W45" s="6" t="str">
        <f t="shared" si="1"/>
        <v/>
      </c>
    </row>
    <row r="46" ht="13.5" customHeight="1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5"/>
      <c r="O46" s="5"/>
      <c r="P46" s="5"/>
      <c r="Q46" s="2"/>
      <c r="R46" s="2"/>
      <c r="S46" s="2"/>
      <c r="T46" s="2"/>
      <c r="U46" s="2"/>
      <c r="V46" s="2"/>
      <c r="W46" s="6" t="str">
        <f t="shared" si="1"/>
        <v/>
      </c>
    </row>
    <row r="47" ht="13.5" customHeight="1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5"/>
      <c r="O47" s="5"/>
      <c r="P47" s="5"/>
      <c r="Q47" s="2"/>
      <c r="R47" s="2"/>
      <c r="S47" s="2"/>
      <c r="T47" s="2"/>
      <c r="U47" s="2"/>
      <c r="V47" s="2"/>
      <c r="W47" s="6" t="str">
        <f t="shared" si="1"/>
        <v/>
      </c>
    </row>
    <row r="48" ht="13.5" customHeight="1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  <c r="O48" s="5"/>
      <c r="P48" s="5"/>
      <c r="Q48" s="2"/>
      <c r="R48" s="2"/>
      <c r="S48" s="2"/>
      <c r="T48" s="2"/>
      <c r="U48" s="2"/>
      <c r="V48" s="2"/>
      <c r="W48" s="6" t="str">
        <f t="shared" si="1"/>
        <v/>
      </c>
    </row>
    <row r="49" ht="13.5" customHeight="1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5"/>
      <c r="O49" s="5"/>
      <c r="P49" s="5"/>
      <c r="Q49" s="2"/>
      <c r="R49" s="2"/>
      <c r="S49" s="2"/>
      <c r="T49" s="2"/>
      <c r="U49" s="2"/>
      <c r="V49" s="2"/>
      <c r="W49" s="6" t="str">
        <f t="shared" si="1"/>
        <v/>
      </c>
    </row>
    <row r="50" ht="13.5" customHeight="1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5"/>
      <c r="O50" s="5"/>
      <c r="P50" s="5"/>
      <c r="Q50" s="2"/>
      <c r="R50" s="2"/>
      <c r="S50" s="2"/>
      <c r="T50" s="2"/>
      <c r="U50" s="2"/>
      <c r="V50" s="2"/>
      <c r="W50" s="6" t="str">
        <f t="shared" si="1"/>
        <v/>
      </c>
    </row>
    <row r="51" ht="13.5" customHeight="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5"/>
      <c r="O51" s="5"/>
      <c r="P51" s="5"/>
      <c r="Q51" s="2"/>
      <c r="R51" s="2"/>
      <c r="S51" s="2"/>
      <c r="T51" s="2"/>
      <c r="U51" s="2"/>
      <c r="V51" s="2"/>
      <c r="W51" s="6" t="str">
        <f t="shared" si="1"/>
        <v/>
      </c>
    </row>
    <row r="52" ht="13.5" customHeight="1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5"/>
      <c r="O52" s="5"/>
      <c r="P52" s="5"/>
      <c r="Q52" s="2"/>
      <c r="R52" s="2"/>
      <c r="S52" s="2"/>
      <c r="T52" s="2"/>
      <c r="U52" s="2"/>
      <c r="V52" s="2"/>
      <c r="W52" s="6" t="str">
        <f t="shared" si="1"/>
        <v/>
      </c>
    </row>
    <row r="53" ht="13.5" customHeight="1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5"/>
      <c r="O53" s="5"/>
      <c r="P53" s="5"/>
      <c r="Q53" s="2"/>
      <c r="R53" s="2"/>
      <c r="S53" s="2"/>
      <c r="T53" s="2"/>
      <c r="U53" s="2"/>
      <c r="V53" s="2"/>
      <c r="W53" s="6" t="str">
        <f t="shared" si="1"/>
        <v/>
      </c>
    </row>
    <row r="54" ht="13.5" customHeight="1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5"/>
      <c r="O54" s="5"/>
      <c r="P54" s="5"/>
      <c r="Q54" s="2"/>
      <c r="R54" s="2"/>
      <c r="S54" s="2"/>
      <c r="T54" s="2"/>
      <c r="U54" s="2"/>
      <c r="V54" s="2"/>
      <c r="W54" s="6" t="str">
        <f t="shared" si="1"/>
        <v/>
      </c>
    </row>
    <row r="55" ht="13.5" customHeight="1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5"/>
      <c r="O55" s="5"/>
      <c r="P55" s="5"/>
      <c r="Q55" s="2"/>
      <c r="R55" s="2"/>
      <c r="S55" s="2"/>
      <c r="T55" s="2"/>
      <c r="U55" s="2"/>
      <c r="V55" s="2"/>
      <c r="W55" s="6" t="str">
        <f t="shared" si="1"/>
        <v/>
      </c>
    </row>
    <row r="56" ht="13.5" customHeight="1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5"/>
      <c r="O56" s="5"/>
      <c r="P56" s="5"/>
      <c r="Q56" s="2"/>
      <c r="R56" s="2"/>
      <c r="S56" s="2"/>
      <c r="T56" s="2"/>
      <c r="U56" s="2"/>
      <c r="V56" s="2"/>
      <c r="W56" s="6" t="str">
        <f t="shared" si="1"/>
        <v/>
      </c>
    </row>
    <row r="57" ht="13.5" customHeight="1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5"/>
      <c r="O57" s="5"/>
      <c r="P57" s="5"/>
      <c r="Q57" s="2"/>
      <c r="R57" s="2"/>
      <c r="S57" s="2"/>
      <c r="T57" s="2"/>
      <c r="U57" s="2"/>
      <c r="V57" s="2"/>
      <c r="W57" s="6" t="str">
        <f t="shared" si="1"/>
        <v/>
      </c>
    </row>
    <row r="58" ht="13.5" customHeight="1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5"/>
      <c r="O58" s="5"/>
      <c r="P58" s="5"/>
      <c r="Q58" s="2"/>
      <c r="R58" s="2"/>
      <c r="S58" s="2"/>
      <c r="T58" s="2"/>
      <c r="U58" s="2"/>
      <c r="V58" s="2"/>
      <c r="W58" s="6" t="str">
        <f t="shared" si="1"/>
        <v/>
      </c>
    </row>
    <row r="59" ht="13.5" customHeight="1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5"/>
      <c r="O59" s="5"/>
      <c r="P59" s="5"/>
      <c r="Q59" s="2"/>
      <c r="R59" s="2"/>
      <c r="S59" s="2"/>
      <c r="T59" s="2"/>
      <c r="U59" s="2"/>
      <c r="V59" s="2"/>
      <c r="W59" s="6" t="str">
        <f t="shared" si="1"/>
        <v/>
      </c>
    </row>
    <row r="60" ht="13.5" customHeight="1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5"/>
      <c r="O60" s="5"/>
      <c r="P60" s="5"/>
      <c r="Q60" s="2"/>
      <c r="R60" s="2"/>
      <c r="S60" s="2"/>
      <c r="T60" s="2"/>
      <c r="U60" s="2"/>
      <c r="V60" s="2"/>
      <c r="W60" s="6" t="str">
        <f t="shared" si="1"/>
        <v/>
      </c>
    </row>
    <row r="61" ht="13.5" customHeight="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5"/>
      <c r="O61" s="5"/>
      <c r="P61" s="5"/>
      <c r="Q61" s="2"/>
      <c r="R61" s="2"/>
      <c r="S61" s="2"/>
      <c r="T61" s="2"/>
      <c r="U61" s="2"/>
      <c r="V61" s="2"/>
      <c r="W61" s="6" t="str">
        <f t="shared" si="1"/>
        <v/>
      </c>
    </row>
    <row r="62" ht="13.5" customHeight="1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5"/>
      <c r="O62" s="5"/>
      <c r="P62" s="5"/>
      <c r="Q62" s="2"/>
      <c r="R62" s="2"/>
      <c r="S62" s="2"/>
      <c r="T62" s="2"/>
      <c r="U62" s="2"/>
      <c r="V62" s="2"/>
      <c r="W62" s="6" t="str">
        <f t="shared" si="1"/>
        <v/>
      </c>
    </row>
    <row r="63" ht="13.5" customHeight="1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5"/>
      <c r="O63" s="5"/>
      <c r="P63" s="5"/>
      <c r="Q63" s="2"/>
      <c r="R63" s="2"/>
      <c r="S63" s="2"/>
      <c r="T63" s="2"/>
      <c r="U63" s="2"/>
      <c r="V63" s="2"/>
      <c r="W63" s="6" t="str">
        <f t="shared" si="1"/>
        <v/>
      </c>
    </row>
    <row r="64" ht="13.5" customHeight="1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5"/>
      <c r="O64" s="5"/>
      <c r="P64" s="5"/>
      <c r="Q64" s="2"/>
      <c r="R64" s="2"/>
      <c r="S64" s="2"/>
      <c r="T64" s="2"/>
      <c r="U64" s="2"/>
      <c r="V64" s="2"/>
      <c r="W64" s="6" t="str">
        <f t="shared" si="1"/>
        <v/>
      </c>
    </row>
    <row r="65" ht="13.5" customHeight="1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5"/>
      <c r="O65" s="5"/>
      <c r="P65" s="5"/>
      <c r="Q65" s="2"/>
      <c r="R65" s="2"/>
      <c r="S65" s="2"/>
      <c r="T65" s="2"/>
      <c r="U65" s="2"/>
      <c r="V65" s="2"/>
      <c r="W65" s="6" t="str">
        <f t="shared" si="1"/>
        <v/>
      </c>
    </row>
    <row r="66" ht="13.5" customHeight="1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5"/>
      <c r="O66" s="5"/>
      <c r="P66" s="5"/>
      <c r="Q66" s="2"/>
      <c r="R66" s="2"/>
      <c r="S66" s="2"/>
      <c r="T66" s="2"/>
      <c r="U66" s="2"/>
      <c r="V66" s="2"/>
      <c r="W66" s="6" t="str">
        <f t="shared" si="1"/>
        <v/>
      </c>
    </row>
    <row r="67" ht="13.5" customHeight="1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5"/>
      <c r="O67" s="5"/>
      <c r="P67" s="5"/>
      <c r="Q67" s="2"/>
      <c r="R67" s="2"/>
      <c r="S67" s="2"/>
      <c r="T67" s="2"/>
      <c r="U67" s="2"/>
      <c r="V67" s="2"/>
      <c r="W67" s="6" t="str">
        <f t="shared" si="1"/>
        <v/>
      </c>
    </row>
    <row r="68" ht="13.5" customHeight="1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5"/>
      <c r="O68" s="5"/>
      <c r="P68" s="5"/>
      <c r="Q68" s="2"/>
      <c r="R68" s="2"/>
      <c r="S68" s="2"/>
      <c r="T68" s="2"/>
      <c r="U68" s="2"/>
      <c r="V68" s="2"/>
      <c r="W68" s="6" t="str">
        <f t="shared" si="1"/>
        <v/>
      </c>
    </row>
    <row r="69" ht="13.5" customHeight="1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5"/>
      <c r="O69" s="5"/>
      <c r="P69" s="5"/>
      <c r="Q69" s="2"/>
      <c r="R69" s="2"/>
      <c r="S69" s="2"/>
      <c r="T69" s="2"/>
      <c r="U69" s="2"/>
      <c r="V69" s="2"/>
      <c r="W69" s="6" t="str">
        <f t="shared" si="1"/>
        <v/>
      </c>
    </row>
    <row r="70" ht="13.5" customHeight="1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5"/>
      <c r="O70" s="5"/>
      <c r="P70" s="5"/>
      <c r="Q70" s="2"/>
      <c r="R70" s="2"/>
      <c r="S70" s="2"/>
      <c r="T70" s="2"/>
      <c r="U70" s="2"/>
      <c r="V70" s="2"/>
      <c r="W70" s="6" t="str">
        <f t="shared" si="1"/>
        <v/>
      </c>
    </row>
    <row r="71" ht="13.5" customHeight="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5"/>
      <c r="O71" s="5"/>
      <c r="P71" s="5"/>
      <c r="Q71" s="2"/>
      <c r="R71" s="2"/>
      <c r="S71" s="2"/>
      <c r="T71" s="2"/>
      <c r="U71" s="2"/>
      <c r="V71" s="2"/>
      <c r="W71" s="6" t="str">
        <f t="shared" si="1"/>
        <v/>
      </c>
    </row>
    <row r="72" ht="13.5" customHeight="1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5"/>
      <c r="O72" s="5"/>
      <c r="P72" s="5"/>
      <c r="Q72" s="2"/>
      <c r="R72" s="2"/>
      <c r="S72" s="2"/>
      <c r="T72" s="2"/>
      <c r="U72" s="2"/>
      <c r="V72" s="2"/>
      <c r="W72" s="6" t="str">
        <f t="shared" si="1"/>
        <v/>
      </c>
    </row>
    <row r="73" ht="13.5" customHeight="1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5"/>
      <c r="O73" s="5"/>
      <c r="P73" s="5"/>
      <c r="Q73" s="2"/>
      <c r="R73" s="2"/>
      <c r="S73" s="2"/>
      <c r="T73" s="2"/>
      <c r="U73" s="2"/>
      <c r="V73" s="2"/>
      <c r="W73" s="6" t="str">
        <f t="shared" si="1"/>
        <v/>
      </c>
    </row>
    <row r="74" ht="13.5" customHeight="1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5"/>
      <c r="O74" s="5"/>
      <c r="P74" s="5"/>
      <c r="Q74" s="2"/>
      <c r="R74" s="2"/>
      <c r="S74" s="2"/>
      <c r="T74" s="2"/>
      <c r="U74" s="2"/>
      <c r="V74" s="2"/>
      <c r="W74" s="6" t="str">
        <f t="shared" si="1"/>
        <v/>
      </c>
    </row>
    <row r="75" ht="13.5" customHeight="1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5"/>
      <c r="O75" s="5"/>
      <c r="P75" s="5"/>
      <c r="Q75" s="2"/>
      <c r="R75" s="2"/>
      <c r="S75" s="2"/>
      <c r="T75" s="2"/>
      <c r="U75" s="2"/>
      <c r="V75" s="2"/>
      <c r="W75" s="6" t="str">
        <f t="shared" si="1"/>
        <v/>
      </c>
    </row>
    <row r="76" ht="13.5" customHeight="1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5"/>
      <c r="O76" s="5"/>
      <c r="P76" s="5"/>
      <c r="Q76" s="2"/>
      <c r="R76" s="2"/>
      <c r="S76" s="2"/>
      <c r="T76" s="2"/>
      <c r="U76" s="2"/>
      <c r="V76" s="2"/>
      <c r="W76" s="6" t="str">
        <f t="shared" si="1"/>
        <v/>
      </c>
    </row>
    <row r="77" ht="13.5" customHeight="1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5"/>
      <c r="O77" s="5"/>
      <c r="P77" s="5"/>
      <c r="Q77" s="2"/>
      <c r="R77" s="2"/>
      <c r="S77" s="2"/>
      <c r="T77" s="2"/>
      <c r="U77" s="2"/>
      <c r="V77" s="2"/>
      <c r="W77" s="6" t="str">
        <f t="shared" si="1"/>
        <v/>
      </c>
    </row>
    <row r="78" ht="13.5" customHeight="1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5"/>
      <c r="O78" s="5"/>
      <c r="P78" s="5"/>
      <c r="Q78" s="2"/>
      <c r="R78" s="2"/>
      <c r="S78" s="2"/>
      <c r="T78" s="2"/>
      <c r="U78" s="2"/>
      <c r="V78" s="2"/>
      <c r="W78" s="6" t="str">
        <f t="shared" si="1"/>
        <v/>
      </c>
    </row>
    <row r="79" ht="13.5" customHeight="1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5"/>
      <c r="O79" s="5"/>
      <c r="P79" s="5"/>
      <c r="Q79" s="2"/>
      <c r="R79" s="2"/>
      <c r="S79" s="2"/>
      <c r="T79" s="2"/>
      <c r="U79" s="2"/>
      <c r="V79" s="2"/>
      <c r="W79" s="6" t="str">
        <f t="shared" si="1"/>
        <v/>
      </c>
    </row>
    <row r="80" ht="13.5" customHeight="1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5"/>
      <c r="O80" s="5"/>
      <c r="P80" s="5"/>
      <c r="Q80" s="2"/>
      <c r="R80" s="2"/>
      <c r="S80" s="2"/>
      <c r="T80" s="2"/>
      <c r="U80" s="2"/>
      <c r="V80" s="2"/>
      <c r="W80" s="6" t="str">
        <f t="shared" si="1"/>
        <v/>
      </c>
    </row>
    <row r="81" ht="13.5" customHeight="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5"/>
      <c r="O81" s="5"/>
      <c r="P81" s="5"/>
      <c r="Q81" s="2"/>
      <c r="R81" s="2"/>
      <c r="S81" s="2"/>
      <c r="T81" s="2"/>
      <c r="U81" s="2"/>
      <c r="V81" s="2"/>
      <c r="W81" s="6" t="str">
        <f t="shared" si="1"/>
        <v/>
      </c>
    </row>
    <row r="82" ht="13.5" customHeight="1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5"/>
      <c r="O82" s="5"/>
      <c r="P82" s="5"/>
      <c r="Q82" s="2"/>
      <c r="R82" s="2"/>
      <c r="S82" s="2"/>
      <c r="T82" s="2"/>
      <c r="U82" s="2"/>
      <c r="V82" s="2"/>
      <c r="W82" s="6" t="str">
        <f t="shared" si="1"/>
        <v/>
      </c>
    </row>
    <row r="83" ht="13.5" customHeight="1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5"/>
      <c r="O83" s="5"/>
      <c r="P83" s="5"/>
      <c r="Q83" s="2"/>
      <c r="R83" s="2"/>
      <c r="S83" s="2"/>
      <c r="T83" s="2"/>
      <c r="U83" s="2"/>
      <c r="V83" s="2"/>
      <c r="W83" s="6" t="str">
        <f t="shared" si="1"/>
        <v/>
      </c>
    </row>
    <row r="84" ht="13.5" customHeight="1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5"/>
      <c r="O84" s="5"/>
      <c r="P84" s="5"/>
      <c r="Q84" s="2"/>
      <c r="R84" s="2"/>
      <c r="S84" s="2"/>
      <c r="T84" s="2"/>
      <c r="U84" s="2"/>
      <c r="V84" s="2"/>
      <c r="W84" s="6" t="str">
        <f t="shared" si="1"/>
        <v/>
      </c>
    </row>
    <row r="85" ht="13.5" customHeight="1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5"/>
      <c r="O85" s="5"/>
      <c r="P85" s="5"/>
      <c r="Q85" s="2"/>
      <c r="R85" s="2"/>
      <c r="S85" s="2"/>
      <c r="T85" s="2"/>
      <c r="U85" s="2"/>
      <c r="V85" s="2"/>
      <c r="W85" s="6" t="str">
        <f t="shared" si="1"/>
        <v/>
      </c>
    </row>
    <row r="86" ht="13.5" customHeight="1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5"/>
      <c r="O86" s="5"/>
      <c r="P86" s="5"/>
      <c r="Q86" s="2"/>
      <c r="R86" s="2"/>
      <c r="S86" s="2"/>
      <c r="T86" s="2"/>
      <c r="U86" s="2"/>
      <c r="V86" s="2"/>
      <c r="W86" s="6" t="str">
        <f t="shared" si="1"/>
        <v/>
      </c>
    </row>
    <row r="87" ht="13.5" customHeight="1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5"/>
      <c r="O87" s="5"/>
      <c r="P87" s="5"/>
      <c r="Q87" s="2"/>
      <c r="R87" s="2"/>
      <c r="S87" s="2"/>
      <c r="T87" s="2"/>
      <c r="U87" s="2"/>
      <c r="V87" s="2"/>
      <c r="W87" s="6" t="str">
        <f t="shared" si="1"/>
        <v/>
      </c>
    </row>
    <row r="88" ht="13.5" customHeight="1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5"/>
      <c r="O88" s="5"/>
      <c r="P88" s="5"/>
      <c r="Q88" s="2"/>
      <c r="R88" s="2"/>
      <c r="S88" s="2"/>
      <c r="T88" s="2"/>
      <c r="U88" s="2"/>
      <c r="V88" s="2"/>
      <c r="W88" s="6" t="str">
        <f t="shared" si="1"/>
        <v/>
      </c>
    </row>
    <row r="89" ht="13.5" customHeight="1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5"/>
      <c r="O89" s="5"/>
      <c r="P89" s="5"/>
      <c r="Q89" s="2"/>
      <c r="R89" s="2"/>
      <c r="S89" s="2"/>
      <c r="T89" s="2"/>
      <c r="U89" s="2"/>
      <c r="V89" s="2"/>
      <c r="W89" s="6" t="str">
        <f t="shared" si="1"/>
        <v/>
      </c>
    </row>
    <row r="90" ht="13.5" customHeight="1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5"/>
      <c r="O90" s="5"/>
      <c r="P90" s="5"/>
      <c r="Q90" s="2"/>
      <c r="R90" s="2"/>
      <c r="S90" s="2"/>
      <c r="T90" s="2"/>
      <c r="U90" s="2"/>
      <c r="V90" s="2"/>
      <c r="W90" s="6" t="str">
        <f t="shared" si="1"/>
        <v/>
      </c>
    </row>
    <row r="91" ht="13.5" customHeight="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5"/>
      <c r="O91" s="5"/>
      <c r="P91" s="5"/>
      <c r="Q91" s="2"/>
      <c r="R91" s="2"/>
      <c r="S91" s="2"/>
      <c r="T91" s="2"/>
      <c r="U91" s="2"/>
      <c r="V91" s="2"/>
      <c r="W91" s="6" t="str">
        <f t="shared" si="1"/>
        <v/>
      </c>
    </row>
    <row r="92" ht="13.5" customHeight="1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5"/>
      <c r="O92" s="5"/>
      <c r="P92" s="5"/>
      <c r="Q92" s="2"/>
      <c r="R92" s="2"/>
      <c r="S92" s="2"/>
      <c r="T92" s="2"/>
      <c r="U92" s="2"/>
      <c r="V92" s="2"/>
      <c r="W92" s="6" t="str">
        <f t="shared" si="1"/>
        <v/>
      </c>
    </row>
    <row r="93" ht="13.5" customHeight="1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5"/>
      <c r="O93" s="5"/>
      <c r="P93" s="5"/>
      <c r="Q93" s="2"/>
      <c r="R93" s="2"/>
      <c r="S93" s="2"/>
      <c r="T93" s="2"/>
      <c r="U93" s="2"/>
      <c r="V93" s="2"/>
      <c r="W93" s="6" t="str">
        <f t="shared" si="1"/>
        <v/>
      </c>
    </row>
    <row r="94" ht="13.5" customHeight="1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5"/>
      <c r="O94" s="5"/>
      <c r="P94" s="5"/>
      <c r="Q94" s="2"/>
      <c r="R94" s="2"/>
      <c r="S94" s="2"/>
      <c r="T94" s="2"/>
      <c r="U94" s="2"/>
      <c r="V94" s="2"/>
      <c r="W94" s="6" t="str">
        <f t="shared" si="1"/>
        <v/>
      </c>
    </row>
    <row r="95" ht="13.5" customHeight="1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5"/>
      <c r="O95" s="5"/>
      <c r="P95" s="5"/>
      <c r="Q95" s="2"/>
      <c r="R95" s="2"/>
      <c r="S95" s="2"/>
      <c r="T95" s="2"/>
      <c r="U95" s="2"/>
      <c r="V95" s="2"/>
      <c r="W95" s="6" t="str">
        <f t="shared" si="1"/>
        <v/>
      </c>
    </row>
    <row r="96" ht="13.5" customHeight="1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5"/>
      <c r="O96" s="5"/>
      <c r="P96" s="5"/>
      <c r="Q96" s="2"/>
      <c r="R96" s="2"/>
      <c r="S96" s="2"/>
      <c r="T96" s="2"/>
      <c r="U96" s="2"/>
      <c r="V96" s="2"/>
      <c r="W96" s="6" t="str">
        <f t="shared" si="1"/>
        <v/>
      </c>
    </row>
    <row r="97" ht="13.5" customHeight="1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5"/>
      <c r="O97" s="5"/>
      <c r="P97" s="5"/>
      <c r="Q97" s="2"/>
      <c r="R97" s="2"/>
      <c r="S97" s="2"/>
      <c r="T97" s="2"/>
      <c r="U97" s="2"/>
      <c r="V97" s="2"/>
      <c r="W97" s="6" t="str">
        <f t="shared" si="1"/>
        <v/>
      </c>
    </row>
    <row r="98" ht="13.5" customHeight="1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5"/>
      <c r="O98" s="5"/>
      <c r="P98" s="5"/>
      <c r="Q98" s="2"/>
      <c r="R98" s="2"/>
      <c r="S98" s="2"/>
      <c r="T98" s="2"/>
      <c r="U98" s="2"/>
      <c r="V98" s="2"/>
      <c r="W98" s="6" t="str">
        <f t="shared" si="1"/>
        <v/>
      </c>
    </row>
    <row r="99" ht="13.5" customHeight="1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5"/>
      <c r="O99" s="5"/>
      <c r="P99" s="5"/>
      <c r="Q99" s="2"/>
      <c r="R99" s="2"/>
      <c r="S99" s="2"/>
      <c r="T99" s="2"/>
      <c r="U99" s="2"/>
      <c r="V99" s="2"/>
      <c r="W99" s="6" t="str">
        <f t="shared" si="1"/>
        <v/>
      </c>
    </row>
    <row r="100" ht="13.5" customHeight="1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5"/>
      <c r="O100" s="5"/>
      <c r="P100" s="5"/>
      <c r="Q100" s="2"/>
      <c r="R100" s="2"/>
      <c r="S100" s="2"/>
      <c r="T100" s="2"/>
      <c r="U100" s="2"/>
      <c r="V100" s="2"/>
      <c r="W100" s="6" t="str">
        <f t="shared" si="1"/>
        <v/>
      </c>
    </row>
    <row r="101" ht="13.5" customHeight="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5"/>
      <c r="O101" s="5"/>
      <c r="P101" s="5"/>
      <c r="Q101" s="2"/>
      <c r="R101" s="2"/>
      <c r="S101" s="2"/>
      <c r="T101" s="2"/>
      <c r="U101" s="2"/>
      <c r="V101" s="2"/>
      <c r="W101" s="6" t="str">
        <f t="shared" si="1"/>
        <v/>
      </c>
    </row>
    <row r="102" ht="13.5" customHeight="1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5"/>
      <c r="O102" s="5"/>
      <c r="P102" s="5"/>
      <c r="Q102" s="2"/>
      <c r="R102" s="2"/>
      <c r="S102" s="2"/>
      <c r="T102" s="2"/>
      <c r="U102" s="2"/>
      <c r="V102" s="2"/>
      <c r="W102" s="6" t="str">
        <f t="shared" si="1"/>
        <v/>
      </c>
    </row>
    <row r="103" ht="13.5" customHeight="1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5"/>
      <c r="O103" s="5"/>
      <c r="P103" s="5"/>
      <c r="Q103" s="2"/>
      <c r="R103" s="2"/>
      <c r="S103" s="2"/>
      <c r="T103" s="2"/>
      <c r="U103" s="2"/>
      <c r="V103" s="2"/>
      <c r="W103" s="6" t="str">
        <f t="shared" si="1"/>
        <v/>
      </c>
    </row>
    <row r="104" ht="13.5" customHeight="1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5"/>
      <c r="O104" s="5"/>
      <c r="P104" s="5"/>
      <c r="Q104" s="2"/>
      <c r="R104" s="2"/>
      <c r="S104" s="2"/>
      <c r="T104" s="2"/>
      <c r="U104" s="2"/>
      <c r="V104" s="2"/>
      <c r="W104" s="6" t="str">
        <f t="shared" si="1"/>
        <v/>
      </c>
    </row>
    <row r="105" ht="13.5" customHeight="1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5"/>
      <c r="O105" s="5"/>
      <c r="P105" s="5"/>
      <c r="Q105" s="2"/>
      <c r="R105" s="2"/>
      <c r="S105" s="2"/>
      <c r="T105" s="2"/>
      <c r="U105" s="2"/>
      <c r="V105" s="2"/>
      <c r="W105" s="6" t="str">
        <f t="shared" si="1"/>
        <v/>
      </c>
    </row>
    <row r="106" ht="13.5" customHeight="1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5"/>
      <c r="O106" s="5"/>
      <c r="P106" s="5"/>
      <c r="Q106" s="2"/>
      <c r="R106" s="2"/>
      <c r="S106" s="2"/>
      <c r="T106" s="2"/>
      <c r="U106" s="2"/>
      <c r="V106" s="2"/>
      <c r="W106" s="6" t="str">
        <f t="shared" si="1"/>
        <v/>
      </c>
    </row>
    <row r="107" ht="13.5" customHeight="1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5"/>
      <c r="O107" s="5"/>
      <c r="P107" s="5"/>
      <c r="Q107" s="2"/>
      <c r="R107" s="2"/>
      <c r="S107" s="2"/>
      <c r="T107" s="2"/>
      <c r="U107" s="2"/>
      <c r="V107" s="2"/>
      <c r="W107" s="6" t="str">
        <f t="shared" si="1"/>
        <v/>
      </c>
    </row>
    <row r="108" ht="13.5" customHeight="1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5"/>
      <c r="O108" s="5"/>
      <c r="P108" s="5"/>
      <c r="Q108" s="2"/>
      <c r="R108" s="2"/>
      <c r="S108" s="2"/>
      <c r="T108" s="2"/>
      <c r="U108" s="2"/>
      <c r="V108" s="2"/>
      <c r="W108" s="6" t="str">
        <f t="shared" si="1"/>
        <v/>
      </c>
    </row>
    <row r="109" ht="13.5" customHeight="1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5"/>
      <c r="O109" s="5"/>
      <c r="P109" s="5"/>
      <c r="Q109" s="2"/>
      <c r="R109" s="2"/>
      <c r="S109" s="2"/>
      <c r="T109" s="2"/>
      <c r="U109" s="2"/>
      <c r="V109" s="2"/>
      <c r="W109" s="6" t="str">
        <f t="shared" si="1"/>
        <v/>
      </c>
    </row>
    <row r="110" ht="13.5" customHeight="1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5"/>
      <c r="O110" s="5"/>
      <c r="P110" s="5"/>
      <c r="Q110" s="2"/>
      <c r="R110" s="2"/>
      <c r="S110" s="2"/>
      <c r="T110" s="2"/>
      <c r="U110" s="2"/>
      <c r="V110" s="2"/>
      <c r="W110" s="6" t="str">
        <f t="shared" si="1"/>
        <v/>
      </c>
    </row>
    <row r="111" ht="13.5" customHeight="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5"/>
      <c r="O111" s="5"/>
      <c r="P111" s="5"/>
      <c r="Q111" s="2"/>
      <c r="R111" s="2"/>
      <c r="S111" s="2"/>
      <c r="T111" s="2"/>
      <c r="U111" s="2"/>
      <c r="V111" s="2"/>
      <c r="W111" s="6" t="str">
        <f t="shared" si="1"/>
        <v/>
      </c>
    </row>
    <row r="112" ht="13.5" customHeight="1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5"/>
      <c r="O112" s="5"/>
      <c r="P112" s="5"/>
      <c r="Q112" s="2"/>
      <c r="R112" s="2"/>
      <c r="S112" s="2"/>
      <c r="T112" s="2"/>
      <c r="U112" s="2"/>
      <c r="V112" s="2"/>
      <c r="W112" s="6" t="str">
        <f t="shared" si="1"/>
        <v/>
      </c>
    </row>
    <row r="113" ht="13.5" customHeight="1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5"/>
      <c r="O113" s="5"/>
      <c r="P113" s="5"/>
      <c r="Q113" s="2"/>
      <c r="R113" s="2"/>
      <c r="S113" s="2"/>
      <c r="T113" s="2"/>
      <c r="U113" s="2"/>
      <c r="V113" s="2"/>
      <c r="W113" s="6" t="str">
        <f t="shared" si="1"/>
        <v/>
      </c>
    </row>
    <row r="114" ht="13.5" customHeight="1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5"/>
      <c r="O114" s="5"/>
      <c r="P114" s="5"/>
      <c r="Q114" s="2"/>
      <c r="R114" s="2"/>
      <c r="S114" s="2"/>
      <c r="T114" s="2"/>
      <c r="U114" s="2"/>
      <c r="V114" s="2"/>
      <c r="W114" s="6" t="str">
        <f t="shared" si="1"/>
        <v/>
      </c>
    </row>
    <row r="115" ht="13.5" customHeight="1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5"/>
      <c r="O115" s="5"/>
      <c r="P115" s="5"/>
      <c r="Q115" s="2"/>
      <c r="R115" s="2"/>
      <c r="S115" s="2"/>
      <c r="T115" s="2"/>
      <c r="U115" s="2"/>
      <c r="V115" s="2"/>
      <c r="W115" s="6" t="str">
        <f t="shared" si="1"/>
        <v/>
      </c>
    </row>
    <row r="116" ht="13.5" customHeight="1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5"/>
      <c r="O116" s="5"/>
      <c r="P116" s="5"/>
      <c r="Q116" s="2"/>
      <c r="R116" s="2"/>
      <c r="S116" s="2"/>
      <c r="T116" s="2"/>
      <c r="U116" s="2"/>
      <c r="V116" s="2"/>
      <c r="W116" s="6" t="str">
        <f t="shared" si="1"/>
        <v/>
      </c>
    </row>
    <row r="117" ht="13.5" customHeight="1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5"/>
      <c r="O117" s="5"/>
      <c r="P117" s="5"/>
      <c r="Q117" s="2"/>
      <c r="R117" s="2"/>
      <c r="S117" s="2"/>
      <c r="T117" s="2"/>
      <c r="U117" s="2"/>
      <c r="V117" s="2"/>
      <c r="W117" s="6" t="str">
        <f t="shared" si="1"/>
        <v/>
      </c>
    </row>
    <row r="118" ht="13.5" customHeight="1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5"/>
      <c r="O118" s="5"/>
      <c r="P118" s="5"/>
      <c r="Q118" s="2"/>
      <c r="R118" s="2"/>
      <c r="S118" s="2"/>
      <c r="T118" s="2"/>
      <c r="U118" s="2"/>
      <c r="V118" s="2"/>
      <c r="W118" s="6" t="str">
        <f t="shared" si="1"/>
        <v/>
      </c>
    </row>
    <row r="119" ht="13.5" customHeight="1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5"/>
      <c r="O119" s="5"/>
      <c r="P119" s="5"/>
      <c r="Q119" s="2"/>
      <c r="R119" s="2"/>
      <c r="S119" s="2"/>
      <c r="T119" s="2"/>
      <c r="U119" s="2"/>
      <c r="V119" s="2"/>
      <c r="W119" s="6" t="str">
        <f t="shared" si="1"/>
        <v/>
      </c>
    </row>
    <row r="120" ht="13.5" customHeight="1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5"/>
      <c r="O120" s="5"/>
      <c r="P120" s="5"/>
      <c r="Q120" s="2"/>
      <c r="R120" s="2"/>
      <c r="S120" s="2"/>
      <c r="T120" s="2"/>
      <c r="U120" s="2"/>
      <c r="V120" s="2"/>
      <c r="W120" s="6" t="str">
        <f t="shared" si="1"/>
        <v/>
      </c>
    </row>
    <row r="121" ht="13.5" customHeight="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5"/>
      <c r="O121" s="5"/>
      <c r="P121" s="5"/>
      <c r="Q121" s="2"/>
      <c r="R121" s="2"/>
      <c r="S121" s="2"/>
      <c r="T121" s="2"/>
      <c r="U121" s="2"/>
      <c r="V121" s="2"/>
      <c r="W121" s="6" t="str">
        <f t="shared" si="1"/>
        <v/>
      </c>
    </row>
    <row r="122" ht="13.5" customHeight="1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5"/>
      <c r="O122" s="5"/>
      <c r="P122" s="5"/>
      <c r="Q122" s="2"/>
      <c r="R122" s="2"/>
      <c r="S122" s="2"/>
      <c r="T122" s="2"/>
      <c r="U122" s="2"/>
      <c r="V122" s="2"/>
      <c r="W122" s="6" t="str">
        <f t="shared" si="1"/>
        <v/>
      </c>
    </row>
    <row r="123" ht="13.5" customHeight="1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5"/>
      <c r="O123" s="5"/>
      <c r="P123" s="5"/>
      <c r="Q123" s="2"/>
      <c r="R123" s="2"/>
      <c r="S123" s="2"/>
      <c r="T123" s="2"/>
      <c r="U123" s="2"/>
      <c r="V123" s="2"/>
      <c r="W123" s="6" t="str">
        <f t="shared" si="1"/>
        <v/>
      </c>
    </row>
    <row r="124" ht="13.5" customHeight="1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5"/>
      <c r="O124" s="5"/>
      <c r="P124" s="5"/>
      <c r="Q124" s="2"/>
      <c r="R124" s="2"/>
      <c r="S124" s="2"/>
      <c r="T124" s="2"/>
      <c r="U124" s="2"/>
      <c r="V124" s="2"/>
      <c r="W124" s="6" t="str">
        <f t="shared" si="1"/>
        <v/>
      </c>
    </row>
    <row r="125" ht="13.5" customHeight="1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5"/>
      <c r="O125" s="5"/>
      <c r="P125" s="5"/>
      <c r="Q125" s="2"/>
      <c r="R125" s="2"/>
      <c r="S125" s="2"/>
      <c r="T125" s="2"/>
      <c r="U125" s="2"/>
      <c r="V125" s="2"/>
      <c r="W125" s="6" t="str">
        <f t="shared" si="1"/>
        <v/>
      </c>
    </row>
    <row r="126" ht="13.5" customHeight="1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5"/>
      <c r="O126" s="5"/>
      <c r="P126" s="5"/>
      <c r="Q126" s="2"/>
      <c r="R126" s="2"/>
      <c r="S126" s="2"/>
      <c r="T126" s="2"/>
      <c r="U126" s="2"/>
      <c r="V126" s="2"/>
      <c r="W126" s="6" t="str">
        <f t="shared" si="1"/>
        <v/>
      </c>
    </row>
    <row r="127" ht="13.5" customHeight="1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5"/>
      <c r="O127" s="5"/>
      <c r="P127" s="5"/>
      <c r="Q127" s="2"/>
      <c r="R127" s="2"/>
      <c r="S127" s="2"/>
      <c r="T127" s="2"/>
      <c r="U127" s="2"/>
      <c r="V127" s="2"/>
      <c r="W127" s="6" t="str">
        <f t="shared" si="1"/>
        <v/>
      </c>
    </row>
    <row r="128" ht="13.5" customHeight="1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5"/>
      <c r="O128" s="5"/>
      <c r="P128" s="5"/>
      <c r="Q128" s="2"/>
      <c r="R128" s="2"/>
      <c r="S128" s="2"/>
      <c r="T128" s="2"/>
      <c r="U128" s="2"/>
      <c r="V128" s="2"/>
      <c r="W128" s="6" t="str">
        <f t="shared" si="1"/>
        <v/>
      </c>
    </row>
    <row r="129" ht="13.5" customHeight="1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5"/>
      <c r="O129" s="5"/>
      <c r="P129" s="5"/>
      <c r="Q129" s="2"/>
      <c r="R129" s="2"/>
      <c r="S129" s="2"/>
      <c r="T129" s="2"/>
      <c r="U129" s="2"/>
      <c r="V129" s="2"/>
      <c r="W129" s="6" t="str">
        <f t="shared" si="1"/>
        <v/>
      </c>
    </row>
    <row r="130" ht="13.5" customHeight="1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5"/>
      <c r="O130" s="5"/>
      <c r="P130" s="5"/>
      <c r="Q130" s="2"/>
      <c r="R130" s="2"/>
      <c r="S130" s="2"/>
      <c r="T130" s="2"/>
      <c r="U130" s="2"/>
      <c r="V130" s="2"/>
      <c r="W130" s="6" t="str">
        <f t="shared" si="1"/>
        <v/>
      </c>
    </row>
    <row r="131" ht="13.5" customHeight="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5"/>
      <c r="O131" s="5"/>
      <c r="P131" s="5"/>
      <c r="Q131" s="2"/>
      <c r="R131" s="2"/>
      <c r="S131" s="2"/>
      <c r="T131" s="2"/>
      <c r="U131" s="2"/>
      <c r="V131" s="2"/>
      <c r="W131" s="6" t="str">
        <f t="shared" si="1"/>
        <v/>
      </c>
    </row>
    <row r="132" ht="13.5" customHeight="1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5"/>
      <c r="O132" s="5"/>
      <c r="P132" s="5"/>
      <c r="Q132" s="2"/>
      <c r="R132" s="2"/>
      <c r="S132" s="2"/>
      <c r="T132" s="2"/>
      <c r="U132" s="2"/>
      <c r="V132" s="2"/>
      <c r="W132" s="6" t="str">
        <f t="shared" si="1"/>
        <v/>
      </c>
    </row>
    <row r="133" ht="13.5" customHeight="1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5"/>
      <c r="O133" s="5"/>
      <c r="P133" s="5"/>
      <c r="Q133" s="2"/>
      <c r="R133" s="2"/>
      <c r="S133" s="2"/>
      <c r="T133" s="2"/>
      <c r="U133" s="2"/>
      <c r="V133" s="2"/>
      <c r="W133" s="6" t="str">
        <f t="shared" si="1"/>
        <v/>
      </c>
    </row>
    <row r="134" ht="13.5" customHeight="1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5"/>
      <c r="O134" s="5"/>
      <c r="P134" s="5"/>
      <c r="Q134" s="2"/>
      <c r="R134" s="2"/>
      <c r="S134" s="2"/>
      <c r="T134" s="2"/>
      <c r="U134" s="2"/>
      <c r="V134" s="2"/>
      <c r="W134" s="6" t="str">
        <f t="shared" si="1"/>
        <v/>
      </c>
    </row>
    <row r="135" ht="13.5" customHeight="1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5"/>
      <c r="O135" s="5"/>
      <c r="P135" s="5"/>
      <c r="Q135" s="2"/>
      <c r="R135" s="2"/>
      <c r="S135" s="2"/>
      <c r="T135" s="2"/>
      <c r="U135" s="2"/>
      <c r="V135" s="2"/>
      <c r="W135" s="6" t="str">
        <f t="shared" si="1"/>
        <v/>
      </c>
    </row>
    <row r="136" ht="13.5" customHeight="1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  <c r="O136" s="5"/>
      <c r="P136" s="5"/>
      <c r="Q136" s="2"/>
      <c r="R136" s="2"/>
      <c r="S136" s="2"/>
      <c r="T136" s="2"/>
      <c r="U136" s="2"/>
      <c r="V136" s="2"/>
      <c r="W136" s="6" t="str">
        <f t="shared" si="1"/>
        <v/>
      </c>
    </row>
    <row r="137" ht="13.5" customHeight="1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5"/>
      <c r="O137" s="5"/>
      <c r="P137" s="5"/>
      <c r="Q137" s="2"/>
      <c r="R137" s="2"/>
      <c r="S137" s="2"/>
      <c r="T137" s="2"/>
      <c r="U137" s="2"/>
      <c r="V137" s="2"/>
      <c r="W137" s="6" t="str">
        <f t="shared" si="1"/>
        <v/>
      </c>
    </row>
    <row r="138" ht="13.5" customHeight="1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  <c r="O138" s="5"/>
      <c r="P138" s="5"/>
      <c r="Q138" s="2"/>
      <c r="R138" s="2"/>
      <c r="S138" s="2"/>
      <c r="T138" s="2"/>
      <c r="U138" s="2"/>
      <c r="V138" s="2"/>
      <c r="W138" s="6" t="str">
        <f t="shared" si="1"/>
        <v/>
      </c>
    </row>
    <row r="139" ht="13.5" customHeight="1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5"/>
      <c r="O139" s="5"/>
      <c r="P139" s="5"/>
      <c r="Q139" s="2"/>
      <c r="R139" s="2"/>
      <c r="S139" s="2"/>
      <c r="T139" s="2"/>
      <c r="U139" s="2"/>
      <c r="V139" s="2"/>
      <c r="W139" s="6" t="str">
        <f t="shared" si="1"/>
        <v/>
      </c>
    </row>
    <row r="140" ht="13.5" customHeight="1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5"/>
      <c r="O140" s="5"/>
      <c r="P140" s="5"/>
      <c r="Q140" s="2"/>
      <c r="R140" s="2"/>
      <c r="S140" s="2"/>
      <c r="T140" s="2"/>
      <c r="U140" s="2"/>
      <c r="V140" s="2"/>
      <c r="W140" s="6" t="str">
        <f t="shared" si="1"/>
        <v/>
      </c>
    </row>
    <row r="141" ht="13.5" customHeight="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5"/>
      <c r="O141" s="5"/>
      <c r="P141" s="5"/>
      <c r="Q141" s="2"/>
      <c r="R141" s="2"/>
      <c r="S141" s="2"/>
      <c r="T141" s="2"/>
      <c r="U141" s="2"/>
      <c r="V141" s="2"/>
      <c r="W141" s="6" t="str">
        <f t="shared" si="1"/>
        <v/>
      </c>
    </row>
    <row r="142" ht="13.5" customHeight="1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5"/>
      <c r="O142" s="5"/>
      <c r="P142" s="5"/>
      <c r="Q142" s="2"/>
      <c r="R142" s="2"/>
      <c r="S142" s="2"/>
      <c r="T142" s="2"/>
      <c r="U142" s="2"/>
      <c r="V142" s="2"/>
      <c r="W142" s="6" t="str">
        <f t="shared" si="1"/>
        <v/>
      </c>
    </row>
    <row r="143" ht="13.5" customHeight="1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5"/>
      <c r="O143" s="5"/>
      <c r="P143" s="5"/>
      <c r="Q143" s="2"/>
      <c r="R143" s="2"/>
      <c r="S143" s="2"/>
      <c r="T143" s="2"/>
      <c r="U143" s="2"/>
      <c r="V143" s="2"/>
      <c r="W143" s="6" t="str">
        <f t="shared" si="1"/>
        <v/>
      </c>
    </row>
    <row r="144" ht="13.5" customHeight="1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5"/>
      <c r="O144" s="5"/>
      <c r="P144" s="5"/>
      <c r="Q144" s="2"/>
      <c r="R144" s="2"/>
      <c r="S144" s="2"/>
      <c r="T144" s="2"/>
      <c r="U144" s="2"/>
      <c r="V144" s="2"/>
      <c r="W144" s="6" t="str">
        <f t="shared" si="1"/>
        <v/>
      </c>
    </row>
    <row r="145" ht="13.5" customHeight="1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5"/>
      <c r="O145" s="5"/>
      <c r="P145" s="5"/>
      <c r="Q145" s="2"/>
      <c r="R145" s="2"/>
      <c r="S145" s="2"/>
      <c r="T145" s="2"/>
      <c r="U145" s="2"/>
      <c r="V145" s="2"/>
      <c r="W145" s="6" t="str">
        <f t="shared" si="1"/>
        <v/>
      </c>
    </row>
    <row r="146" ht="13.5" customHeight="1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5"/>
      <c r="O146" s="5"/>
      <c r="P146" s="5"/>
      <c r="Q146" s="2"/>
      <c r="R146" s="2"/>
      <c r="S146" s="2"/>
      <c r="T146" s="2"/>
      <c r="U146" s="2"/>
      <c r="V146" s="2"/>
      <c r="W146" s="6" t="str">
        <f t="shared" si="1"/>
        <v/>
      </c>
    </row>
    <row r="147" ht="13.5" customHeight="1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5"/>
      <c r="O147" s="5"/>
      <c r="P147" s="5"/>
      <c r="Q147" s="2"/>
      <c r="R147" s="2"/>
      <c r="S147" s="2"/>
      <c r="T147" s="2"/>
      <c r="U147" s="2"/>
      <c r="V147" s="2"/>
      <c r="W147" s="6" t="str">
        <f t="shared" si="1"/>
        <v/>
      </c>
    </row>
    <row r="148" ht="13.5" customHeight="1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5"/>
      <c r="O148" s="5"/>
      <c r="P148" s="5"/>
      <c r="Q148" s="2"/>
      <c r="R148" s="2"/>
      <c r="S148" s="2"/>
      <c r="T148" s="2"/>
      <c r="U148" s="2"/>
      <c r="V148" s="2"/>
      <c r="W148" s="6" t="str">
        <f t="shared" si="1"/>
        <v/>
      </c>
    </row>
    <row r="149" ht="13.5" customHeight="1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5"/>
      <c r="O149" s="5"/>
      <c r="P149" s="5"/>
      <c r="Q149" s="2"/>
      <c r="R149" s="2"/>
      <c r="S149" s="2"/>
      <c r="T149" s="2"/>
      <c r="U149" s="2"/>
      <c r="V149" s="2"/>
      <c r="W149" s="6" t="str">
        <f t="shared" si="1"/>
        <v/>
      </c>
    </row>
    <row r="150" ht="13.5" customHeight="1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5"/>
      <c r="O150" s="5"/>
      <c r="P150" s="5"/>
      <c r="Q150" s="2"/>
      <c r="R150" s="2"/>
      <c r="S150" s="2"/>
      <c r="T150" s="2"/>
      <c r="U150" s="2"/>
      <c r="V150" s="2"/>
      <c r="W150" s="6" t="str">
        <f t="shared" si="1"/>
        <v/>
      </c>
    </row>
    <row r="151" ht="13.5" customHeight="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5"/>
      <c r="O151" s="5"/>
      <c r="P151" s="5"/>
      <c r="Q151" s="2"/>
      <c r="R151" s="2"/>
      <c r="S151" s="2"/>
      <c r="T151" s="2"/>
      <c r="U151" s="2"/>
      <c r="V151" s="2"/>
      <c r="W151" s="6" t="str">
        <f t="shared" si="1"/>
        <v/>
      </c>
    </row>
    <row r="152" ht="13.5" customHeight="1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5"/>
      <c r="O152" s="5"/>
      <c r="P152" s="5"/>
      <c r="Q152" s="2"/>
      <c r="R152" s="2"/>
      <c r="S152" s="2"/>
      <c r="T152" s="2"/>
      <c r="U152" s="2"/>
      <c r="V152" s="2"/>
      <c r="W152" s="6" t="str">
        <f t="shared" si="1"/>
        <v/>
      </c>
    </row>
    <row r="153" ht="13.5" customHeight="1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5"/>
      <c r="O153" s="5"/>
      <c r="P153" s="5"/>
      <c r="Q153" s="2"/>
      <c r="R153" s="2"/>
      <c r="S153" s="2"/>
      <c r="T153" s="2"/>
      <c r="U153" s="2"/>
      <c r="V153" s="2"/>
      <c r="W153" s="6" t="str">
        <f t="shared" si="1"/>
        <v/>
      </c>
    </row>
    <row r="154" ht="13.5" customHeight="1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5"/>
      <c r="O154" s="5"/>
      <c r="P154" s="5"/>
      <c r="Q154" s="2"/>
      <c r="R154" s="2"/>
      <c r="S154" s="2"/>
      <c r="T154" s="2"/>
      <c r="U154" s="2"/>
      <c r="V154" s="2"/>
      <c r="W154" s="6" t="str">
        <f t="shared" si="1"/>
        <v/>
      </c>
    </row>
    <row r="155" ht="13.5" customHeight="1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5"/>
      <c r="O155" s="5"/>
      <c r="P155" s="5"/>
      <c r="Q155" s="2"/>
      <c r="R155" s="2"/>
      <c r="S155" s="2"/>
      <c r="T155" s="2"/>
      <c r="U155" s="2"/>
      <c r="V155" s="2"/>
      <c r="W155" s="6" t="str">
        <f t="shared" si="1"/>
        <v/>
      </c>
    </row>
    <row r="156" ht="13.5" customHeight="1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5"/>
      <c r="O156" s="5"/>
      <c r="P156" s="5"/>
      <c r="Q156" s="2"/>
      <c r="R156" s="2"/>
      <c r="S156" s="2"/>
      <c r="T156" s="2"/>
      <c r="U156" s="2"/>
      <c r="V156" s="2"/>
      <c r="W156" s="6" t="str">
        <f t="shared" si="1"/>
        <v/>
      </c>
    </row>
    <row r="157" ht="13.5" customHeight="1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5"/>
      <c r="O157" s="5"/>
      <c r="P157" s="5"/>
      <c r="Q157" s="2"/>
      <c r="R157" s="2"/>
      <c r="S157" s="2"/>
      <c r="T157" s="2"/>
      <c r="U157" s="2"/>
      <c r="V157" s="2"/>
      <c r="W157" s="6" t="str">
        <f t="shared" si="1"/>
        <v/>
      </c>
    </row>
    <row r="158" ht="13.5" customHeight="1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5"/>
      <c r="O158" s="5"/>
      <c r="P158" s="5"/>
      <c r="Q158" s="2"/>
      <c r="R158" s="2"/>
      <c r="S158" s="2"/>
      <c r="T158" s="2"/>
      <c r="U158" s="2"/>
      <c r="V158" s="2"/>
      <c r="W158" s="6" t="str">
        <f t="shared" si="1"/>
        <v/>
      </c>
    </row>
    <row r="159" ht="13.5" customHeight="1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5"/>
      <c r="O159" s="5"/>
      <c r="P159" s="5"/>
      <c r="Q159" s="2"/>
      <c r="R159" s="2"/>
      <c r="S159" s="2"/>
      <c r="T159" s="2"/>
      <c r="U159" s="2"/>
      <c r="V159" s="2"/>
      <c r="W159" s="6" t="str">
        <f t="shared" si="1"/>
        <v/>
      </c>
    </row>
    <row r="160" ht="13.5" customHeight="1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5"/>
      <c r="O160" s="5"/>
      <c r="P160" s="5"/>
      <c r="Q160" s="2"/>
      <c r="R160" s="2"/>
      <c r="S160" s="2"/>
      <c r="T160" s="2"/>
      <c r="U160" s="2"/>
      <c r="V160" s="2"/>
      <c r="W160" s="6" t="str">
        <f t="shared" si="1"/>
        <v/>
      </c>
    </row>
    <row r="161" ht="13.5" customHeight="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5"/>
      <c r="O161" s="5"/>
      <c r="P161" s="5"/>
      <c r="Q161" s="2"/>
      <c r="R161" s="2"/>
      <c r="S161" s="2"/>
      <c r="T161" s="2"/>
      <c r="U161" s="2"/>
      <c r="V161" s="2"/>
      <c r="W161" s="6" t="str">
        <f t="shared" si="1"/>
        <v/>
      </c>
    </row>
    <row r="162" ht="13.5" customHeight="1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5"/>
      <c r="O162" s="5"/>
      <c r="P162" s="5"/>
      <c r="Q162" s="2"/>
      <c r="R162" s="2"/>
      <c r="S162" s="2"/>
      <c r="T162" s="2"/>
      <c r="U162" s="2"/>
      <c r="V162" s="2"/>
      <c r="W162" s="6" t="str">
        <f t="shared" si="1"/>
        <v/>
      </c>
    </row>
    <row r="163" ht="13.5" customHeight="1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5"/>
      <c r="O163" s="5"/>
      <c r="P163" s="5"/>
      <c r="Q163" s="2"/>
      <c r="R163" s="2"/>
      <c r="S163" s="2"/>
      <c r="T163" s="2"/>
      <c r="U163" s="2"/>
      <c r="V163" s="2"/>
      <c r="W163" s="6" t="str">
        <f t="shared" si="1"/>
        <v/>
      </c>
    </row>
    <row r="164" ht="13.5" customHeight="1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5"/>
      <c r="O164" s="5"/>
      <c r="P164" s="5"/>
      <c r="Q164" s="2"/>
      <c r="R164" s="2"/>
      <c r="S164" s="2"/>
      <c r="T164" s="2"/>
      <c r="U164" s="2"/>
      <c r="V164" s="2"/>
      <c r="W164" s="6" t="str">
        <f t="shared" si="1"/>
        <v/>
      </c>
    </row>
    <row r="165" ht="13.5" customHeight="1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5"/>
      <c r="O165" s="5"/>
      <c r="P165" s="5"/>
      <c r="Q165" s="2"/>
      <c r="R165" s="2"/>
      <c r="S165" s="2"/>
      <c r="T165" s="2"/>
      <c r="U165" s="2"/>
      <c r="V165" s="2"/>
      <c r="W165" s="6" t="str">
        <f t="shared" si="1"/>
        <v/>
      </c>
    </row>
    <row r="166" ht="13.5" customHeight="1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5"/>
      <c r="O166" s="5"/>
      <c r="P166" s="5"/>
      <c r="Q166" s="2"/>
      <c r="R166" s="2"/>
      <c r="S166" s="2"/>
      <c r="T166" s="2"/>
      <c r="U166" s="2"/>
      <c r="V166" s="2"/>
      <c r="W166" s="6" t="str">
        <f t="shared" si="1"/>
        <v/>
      </c>
    </row>
    <row r="167" ht="13.5" customHeight="1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5"/>
      <c r="O167" s="5"/>
      <c r="P167" s="5"/>
      <c r="Q167" s="2"/>
      <c r="R167" s="2"/>
      <c r="S167" s="2"/>
      <c r="T167" s="2"/>
      <c r="U167" s="2"/>
      <c r="V167" s="2"/>
      <c r="W167" s="6" t="str">
        <f t="shared" si="1"/>
        <v/>
      </c>
    </row>
    <row r="168" ht="13.5" customHeight="1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5"/>
      <c r="O168" s="5"/>
      <c r="P168" s="5"/>
      <c r="Q168" s="2"/>
      <c r="R168" s="2"/>
      <c r="S168" s="2"/>
      <c r="T168" s="2"/>
      <c r="U168" s="2"/>
      <c r="V168" s="2"/>
      <c r="W168" s="6" t="str">
        <f t="shared" si="1"/>
        <v/>
      </c>
    </row>
    <row r="169" ht="13.5" customHeight="1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5"/>
      <c r="O169" s="5"/>
      <c r="P169" s="5"/>
      <c r="Q169" s="2"/>
      <c r="R169" s="2"/>
      <c r="S169" s="2"/>
      <c r="T169" s="2"/>
      <c r="U169" s="2"/>
      <c r="V169" s="2"/>
      <c r="W169" s="6" t="str">
        <f t="shared" si="1"/>
        <v/>
      </c>
    </row>
    <row r="170" ht="13.5" customHeight="1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5"/>
      <c r="O170" s="5"/>
      <c r="P170" s="5"/>
      <c r="Q170" s="2"/>
      <c r="R170" s="2"/>
      <c r="S170" s="2"/>
      <c r="T170" s="2"/>
      <c r="U170" s="2"/>
      <c r="V170" s="2"/>
      <c r="W170" s="6" t="str">
        <f t="shared" si="1"/>
        <v/>
      </c>
    </row>
    <row r="171" ht="13.5" customHeight="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5"/>
      <c r="O171" s="5"/>
      <c r="P171" s="5"/>
      <c r="Q171" s="2"/>
      <c r="R171" s="2"/>
      <c r="S171" s="2"/>
      <c r="T171" s="2"/>
      <c r="U171" s="2"/>
      <c r="V171" s="2"/>
      <c r="W171" s="6" t="str">
        <f t="shared" si="1"/>
        <v/>
      </c>
    </row>
    <row r="172" ht="13.5" customHeight="1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5"/>
      <c r="O172" s="5"/>
      <c r="P172" s="5"/>
      <c r="Q172" s="2"/>
      <c r="R172" s="2"/>
      <c r="S172" s="2"/>
      <c r="T172" s="2"/>
      <c r="U172" s="2"/>
      <c r="V172" s="2"/>
      <c r="W172" s="6" t="str">
        <f t="shared" si="1"/>
        <v/>
      </c>
    </row>
    <row r="173" ht="13.5" customHeight="1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5"/>
      <c r="O173" s="5"/>
      <c r="P173" s="5"/>
      <c r="Q173" s="2"/>
      <c r="R173" s="2"/>
      <c r="S173" s="2"/>
      <c r="T173" s="2"/>
      <c r="U173" s="2"/>
      <c r="V173" s="2"/>
      <c r="W173" s="6" t="str">
        <f t="shared" si="1"/>
        <v/>
      </c>
    </row>
    <row r="174" ht="13.5" customHeight="1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5"/>
      <c r="O174" s="5"/>
      <c r="P174" s="5"/>
      <c r="Q174" s="2"/>
      <c r="R174" s="2"/>
      <c r="S174" s="2"/>
      <c r="T174" s="2"/>
      <c r="U174" s="2"/>
      <c r="V174" s="2"/>
      <c r="W174" s="6" t="str">
        <f t="shared" si="1"/>
        <v/>
      </c>
    </row>
    <row r="175" ht="13.5" customHeight="1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5"/>
      <c r="O175" s="5"/>
      <c r="P175" s="5"/>
      <c r="Q175" s="2"/>
      <c r="R175" s="2"/>
      <c r="S175" s="2"/>
      <c r="T175" s="2"/>
      <c r="U175" s="2"/>
      <c r="V175" s="2"/>
      <c r="W175" s="6" t="str">
        <f t="shared" si="1"/>
        <v/>
      </c>
    </row>
    <row r="176" ht="13.5" customHeight="1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5"/>
      <c r="O176" s="5"/>
      <c r="P176" s="5"/>
      <c r="Q176" s="2"/>
      <c r="R176" s="2"/>
      <c r="S176" s="2"/>
      <c r="T176" s="2"/>
      <c r="U176" s="2"/>
      <c r="V176" s="2"/>
      <c r="W176" s="6" t="str">
        <f t="shared" si="1"/>
        <v/>
      </c>
    </row>
    <row r="177" ht="13.5" customHeight="1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5"/>
      <c r="O177" s="5"/>
      <c r="P177" s="5"/>
      <c r="Q177" s="2"/>
      <c r="R177" s="2"/>
      <c r="S177" s="2"/>
      <c r="T177" s="2"/>
      <c r="U177" s="2"/>
      <c r="V177" s="2"/>
      <c r="W177" s="6" t="str">
        <f t="shared" si="1"/>
        <v/>
      </c>
    </row>
    <row r="178" ht="13.5" customHeight="1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5"/>
      <c r="O178" s="5"/>
      <c r="P178" s="5"/>
      <c r="Q178" s="2"/>
      <c r="R178" s="2"/>
      <c r="S178" s="2"/>
      <c r="T178" s="2"/>
      <c r="U178" s="2"/>
      <c r="V178" s="2"/>
      <c r="W178" s="6" t="str">
        <f t="shared" si="1"/>
        <v/>
      </c>
    </row>
    <row r="179" ht="13.5" customHeight="1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5"/>
      <c r="O179" s="5"/>
      <c r="P179" s="5"/>
      <c r="Q179" s="2"/>
      <c r="R179" s="2"/>
      <c r="S179" s="2"/>
      <c r="T179" s="2"/>
      <c r="U179" s="2"/>
      <c r="V179" s="2"/>
      <c r="W179" s="6" t="str">
        <f t="shared" si="1"/>
        <v/>
      </c>
    </row>
    <row r="180" ht="13.5" customHeight="1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5"/>
      <c r="O180" s="5"/>
      <c r="P180" s="5"/>
      <c r="Q180" s="2"/>
      <c r="R180" s="2"/>
      <c r="S180" s="2"/>
      <c r="T180" s="2"/>
      <c r="U180" s="2"/>
      <c r="V180" s="2"/>
      <c r="W180" s="6" t="str">
        <f t="shared" si="1"/>
        <v/>
      </c>
    </row>
    <row r="181" ht="13.5" customHeight="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5"/>
      <c r="O181" s="5"/>
      <c r="P181" s="5"/>
      <c r="Q181" s="2"/>
      <c r="R181" s="2"/>
      <c r="S181" s="2"/>
      <c r="T181" s="2"/>
      <c r="U181" s="2"/>
      <c r="V181" s="2"/>
      <c r="W181" s="6" t="str">
        <f t="shared" si="1"/>
        <v/>
      </c>
    </row>
    <row r="182" ht="13.5" customHeight="1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5"/>
      <c r="O182" s="5"/>
      <c r="P182" s="5"/>
      <c r="Q182" s="2"/>
      <c r="R182" s="2"/>
      <c r="S182" s="2"/>
      <c r="T182" s="2"/>
      <c r="U182" s="2"/>
      <c r="V182" s="2"/>
      <c r="W182" s="6" t="str">
        <f t="shared" si="1"/>
        <v/>
      </c>
    </row>
    <row r="183" ht="13.5" customHeight="1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5"/>
      <c r="O183" s="5"/>
      <c r="P183" s="5"/>
      <c r="Q183" s="2"/>
      <c r="R183" s="2"/>
      <c r="S183" s="2"/>
      <c r="T183" s="2"/>
      <c r="U183" s="2"/>
      <c r="V183" s="2"/>
      <c r="W183" s="6" t="str">
        <f t="shared" si="1"/>
        <v/>
      </c>
    </row>
    <row r="184" ht="13.5" customHeight="1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5"/>
      <c r="O184" s="5"/>
      <c r="P184" s="5"/>
      <c r="Q184" s="2"/>
      <c r="R184" s="2"/>
      <c r="S184" s="2"/>
      <c r="T184" s="2"/>
      <c r="U184" s="2"/>
      <c r="V184" s="2"/>
      <c r="W184" s="6" t="str">
        <f t="shared" si="1"/>
        <v/>
      </c>
    </row>
    <row r="185" ht="13.5" customHeight="1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5"/>
      <c r="O185" s="5"/>
      <c r="P185" s="5"/>
      <c r="Q185" s="2"/>
      <c r="R185" s="2"/>
      <c r="S185" s="2"/>
      <c r="T185" s="2"/>
      <c r="U185" s="2"/>
      <c r="V185" s="2"/>
      <c r="W185" s="6" t="str">
        <f t="shared" si="1"/>
        <v/>
      </c>
    </row>
    <row r="186" ht="13.5" customHeight="1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5"/>
      <c r="O186" s="5"/>
      <c r="P186" s="5"/>
      <c r="Q186" s="2"/>
      <c r="R186" s="2"/>
      <c r="S186" s="2"/>
      <c r="T186" s="2"/>
      <c r="U186" s="2"/>
      <c r="V186" s="2"/>
      <c r="W186" s="6" t="str">
        <f t="shared" si="1"/>
        <v/>
      </c>
    </row>
    <row r="187" ht="13.5" customHeight="1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5"/>
      <c r="O187" s="5"/>
      <c r="P187" s="5"/>
      <c r="Q187" s="2"/>
      <c r="R187" s="2"/>
      <c r="S187" s="2"/>
      <c r="T187" s="2"/>
      <c r="U187" s="2"/>
      <c r="V187" s="2"/>
      <c r="W187" s="6" t="str">
        <f t="shared" si="1"/>
        <v/>
      </c>
    </row>
    <row r="188" ht="13.5" customHeight="1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5"/>
      <c r="O188" s="5"/>
      <c r="P188" s="5"/>
      <c r="Q188" s="2"/>
      <c r="R188" s="2"/>
      <c r="S188" s="2"/>
      <c r="T188" s="2"/>
      <c r="U188" s="2"/>
      <c r="V188" s="2"/>
      <c r="W188" s="6" t="str">
        <f t="shared" si="1"/>
        <v/>
      </c>
    </row>
    <row r="189" ht="13.5" customHeight="1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5"/>
      <c r="O189" s="5"/>
      <c r="P189" s="5"/>
      <c r="Q189" s="2"/>
      <c r="R189" s="2"/>
      <c r="S189" s="2"/>
      <c r="T189" s="2"/>
      <c r="U189" s="2"/>
      <c r="V189" s="2"/>
      <c r="W189" s="6" t="str">
        <f t="shared" si="1"/>
        <v/>
      </c>
    </row>
    <row r="190" ht="13.5" customHeight="1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5"/>
      <c r="O190" s="5"/>
      <c r="P190" s="5"/>
      <c r="Q190" s="2"/>
      <c r="R190" s="2"/>
      <c r="S190" s="2"/>
      <c r="T190" s="2"/>
      <c r="U190" s="2"/>
      <c r="V190" s="2"/>
      <c r="W190" s="6" t="str">
        <f t="shared" si="1"/>
        <v/>
      </c>
    </row>
    <row r="191" ht="13.5" customHeight="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5"/>
      <c r="O191" s="5"/>
      <c r="P191" s="5"/>
      <c r="Q191" s="2"/>
      <c r="R191" s="2"/>
      <c r="S191" s="2"/>
      <c r="T191" s="2"/>
      <c r="U191" s="2"/>
      <c r="V191" s="2"/>
      <c r="W191" s="6" t="str">
        <f t="shared" si="1"/>
        <v/>
      </c>
    </row>
    <row r="192" ht="13.5" customHeight="1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5"/>
      <c r="O192" s="5"/>
      <c r="P192" s="5"/>
      <c r="Q192" s="2"/>
      <c r="R192" s="2"/>
      <c r="S192" s="2"/>
      <c r="T192" s="2"/>
      <c r="U192" s="2"/>
      <c r="V192" s="2"/>
      <c r="W192" s="6" t="str">
        <f t="shared" si="1"/>
        <v/>
      </c>
    </row>
    <row r="193" ht="13.5" customHeight="1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5"/>
      <c r="O193" s="5"/>
      <c r="P193" s="5"/>
      <c r="Q193" s="2"/>
      <c r="R193" s="2"/>
      <c r="S193" s="2"/>
      <c r="T193" s="2"/>
      <c r="U193" s="2"/>
      <c r="V193" s="2"/>
      <c r="W193" s="6" t="str">
        <f t="shared" si="1"/>
        <v/>
      </c>
    </row>
    <row r="194" ht="13.5" customHeight="1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5"/>
      <c r="O194" s="5"/>
      <c r="P194" s="5"/>
      <c r="Q194" s="2"/>
      <c r="R194" s="2"/>
      <c r="S194" s="2"/>
      <c r="T194" s="2"/>
      <c r="U194" s="2"/>
      <c r="V194" s="2"/>
      <c r="W194" s="6" t="str">
        <f t="shared" si="1"/>
        <v/>
      </c>
    </row>
    <row r="195" ht="13.5" customHeight="1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5"/>
      <c r="O195" s="5"/>
      <c r="P195" s="5"/>
      <c r="Q195" s="2"/>
      <c r="R195" s="2"/>
      <c r="S195" s="2"/>
      <c r="T195" s="2"/>
      <c r="U195" s="2"/>
      <c r="V195" s="2"/>
      <c r="W195" s="6" t="str">
        <f t="shared" si="1"/>
        <v/>
      </c>
    </row>
    <row r="196" ht="13.5" customHeight="1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5"/>
      <c r="O196" s="5"/>
      <c r="P196" s="5"/>
      <c r="Q196" s="2"/>
      <c r="R196" s="2"/>
      <c r="S196" s="2"/>
      <c r="T196" s="2"/>
      <c r="U196" s="2"/>
      <c r="V196" s="2"/>
      <c r="W196" s="6" t="str">
        <f t="shared" si="1"/>
        <v/>
      </c>
    </row>
    <row r="197" ht="13.5" customHeight="1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5"/>
      <c r="O197" s="5"/>
      <c r="P197" s="5"/>
      <c r="Q197" s="2"/>
      <c r="R197" s="2"/>
      <c r="S197" s="2"/>
      <c r="T197" s="2"/>
      <c r="U197" s="2"/>
      <c r="V197" s="2"/>
      <c r="W197" s="6" t="str">
        <f t="shared" si="1"/>
        <v/>
      </c>
    </row>
    <row r="198" ht="13.5" customHeight="1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5"/>
      <c r="O198" s="5"/>
      <c r="P198" s="5"/>
      <c r="Q198" s="2"/>
      <c r="R198" s="2"/>
      <c r="S198" s="2"/>
      <c r="T198" s="2"/>
      <c r="U198" s="2"/>
      <c r="V198" s="2"/>
      <c r="W198" s="6" t="str">
        <f t="shared" si="1"/>
        <v/>
      </c>
    </row>
    <row r="199" ht="13.5" customHeight="1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5"/>
      <c r="O199" s="5"/>
      <c r="P199" s="5"/>
      <c r="Q199" s="2"/>
      <c r="R199" s="2"/>
      <c r="S199" s="2"/>
      <c r="T199" s="2"/>
      <c r="U199" s="2"/>
      <c r="V199" s="2"/>
      <c r="W199" s="6" t="str">
        <f t="shared" si="1"/>
        <v/>
      </c>
    </row>
    <row r="200" ht="13.5" customHeight="1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5"/>
      <c r="O200" s="5"/>
      <c r="P200" s="5"/>
      <c r="Q200" s="2"/>
      <c r="R200" s="2"/>
      <c r="S200" s="2"/>
      <c r="T200" s="2"/>
      <c r="U200" s="2"/>
      <c r="V200" s="2"/>
      <c r="W200" s="6" t="str">
        <f t="shared" si="1"/>
        <v/>
      </c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J2:J200">
    <cfRule type="expression" dxfId="4" priority="1">
      <formula>OR($J2="Blocker",$J2="Critical")</formula>
    </cfRule>
  </conditionalFormatting>
  <conditionalFormatting sqref="K2:K200">
    <cfRule type="expression" dxfId="5" priority="2">
      <formula>OR($K2="Critical",$K2="High")</formula>
    </cfRule>
  </conditionalFormatting>
  <conditionalFormatting sqref="L2:L200">
    <cfRule type="expression" dxfId="6" priority="3">
      <formula>OR($L2="New",$L2="Triaged")</formula>
    </cfRule>
  </conditionalFormatting>
  <conditionalFormatting sqref="L2:L200">
    <cfRule type="expression" dxfId="7" priority="4">
      <formula>$L2="In Progress"</formula>
    </cfRule>
  </conditionalFormatting>
  <conditionalFormatting sqref="L2:L200">
    <cfRule type="expression" dxfId="8" priority="5">
      <formula>OR($L2="Fixed",$L2="Closed")</formula>
    </cfRule>
  </conditionalFormatting>
  <conditionalFormatting sqref="W2:W200">
    <cfRule type="expression" dxfId="9" priority="6">
      <formula>AND($W2&gt;7,$L2&lt;&gt;"Closed",$L2&lt;&gt;"Fixed")</formula>
    </cfRule>
  </conditionalFormatting>
  <dataValidations>
    <dataValidation type="list" allowBlank="1" sqref="E10">
      <formula1>Lists!$E$2:$E$15</formula1>
    </dataValidation>
    <dataValidation type="list" allowBlank="1" sqref="L2:L200">
      <formula1>Lists!$A$2:$A$10</formula1>
    </dataValidation>
    <dataValidation type="list" allowBlank="1" sqref="J2:J200">
      <formula1>Lists!$C$2:$C$6</formula1>
    </dataValidation>
    <dataValidation type="list" allowBlank="1" sqref="Q2:Q200">
      <formula1>"Pass,Fail,Blocked,Not Retested"</formula1>
    </dataValidation>
    <dataValidation type="list" allowBlank="1" sqref="D2:D200">
      <formula1>Lists!$D$2:$D$14</formula1>
    </dataValidation>
    <dataValidation type="list" allowBlank="1" sqref="E2:E9 E11:E200">
      <formula1>Lists!$E$2:$E$16</formula1>
    </dataValidation>
    <dataValidation type="list" allowBlank="1" sqref="K2:K200">
      <formula1>Lists!$B$2:$B$5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4.0"/>
    <col customWidth="1" min="4" max="5" width="20.0"/>
    <col customWidth="1" min="6" max="6" width="8.63"/>
    <col customWidth="1" min="7" max="8" width="20.0"/>
    <col customWidth="1" min="9" max="26" width="8.63"/>
  </cols>
  <sheetData>
    <row r="1" ht="13.5" customHeight="1">
      <c r="A1" s="7" t="s">
        <v>103</v>
      </c>
      <c r="B1" s="8"/>
      <c r="C1" s="8"/>
      <c r="D1" s="8"/>
      <c r="E1" s="8"/>
      <c r="F1" s="8"/>
      <c r="G1" s="8"/>
      <c r="H1" s="9"/>
    </row>
    <row r="2" ht="13.5" customHeight="1"/>
    <row r="3" ht="13.5" customHeight="1">
      <c r="A3" s="10" t="s">
        <v>104</v>
      </c>
      <c r="B3" s="10" t="s">
        <v>105</v>
      </c>
      <c r="C3" s="10" t="s">
        <v>106</v>
      </c>
    </row>
    <row r="4" ht="13.5" customHeight="1">
      <c r="A4" s="11" t="s">
        <v>107</v>
      </c>
      <c r="B4" s="12">
        <f>COUNTA('Bug Tracker'!$A$2:$A$200)</f>
        <v>11</v>
      </c>
      <c r="C4" s="13" t="s">
        <v>108</v>
      </c>
    </row>
    <row r="5" ht="13.5" customHeight="1">
      <c r="A5" s="11" t="s">
        <v>109</v>
      </c>
      <c r="B5" s="12">
        <f>COUNTIFS('Bug Tracker'!$L$2:$L$200,"&lt;&gt;Closed",'Bug Tracker'!$L$2:$L$200,"&lt;&gt;Fixed",'Bug Tracker'!$A$2:$A$200,"&lt;&gt;")</f>
        <v>11</v>
      </c>
      <c r="C5" s="13" t="s">
        <v>110</v>
      </c>
    </row>
    <row r="6" ht="13.5" customHeight="1">
      <c r="A6" s="11" t="s">
        <v>111</v>
      </c>
      <c r="B6" s="12">
        <f>COUNTIF('Bug Tracker'!$L$2:$L$200,"Fixed")</f>
        <v>0</v>
      </c>
      <c r="C6" s="13" t="s">
        <v>112</v>
      </c>
    </row>
    <row r="7" ht="13.5" customHeight="1">
      <c r="A7" s="11" t="s">
        <v>113</v>
      </c>
      <c r="B7" s="12">
        <f>COUNTIF('Bug Tracker'!$L$2:$L$200,"Closed")</f>
        <v>0</v>
      </c>
      <c r="C7" s="13" t="s">
        <v>114</v>
      </c>
    </row>
    <row r="8" ht="13.5" customHeight="1">
      <c r="A8" s="11" t="s">
        <v>115</v>
      </c>
      <c r="B8" s="12">
        <f>COUNTIF('Bug Tracker'!$K$2:$K$200,"Critical") + COUNTIF('Bug Tracker'!$K$2:$K$200,"High")</f>
        <v>9</v>
      </c>
      <c r="C8" s="13" t="s">
        <v>116</v>
      </c>
    </row>
    <row r="9" ht="13.5" customHeight="1">
      <c r="A9" s="11" t="s">
        <v>117</v>
      </c>
      <c r="B9" s="12">
        <f>COUNTIFS('Bug Tracker'!$N$2:$N$200,"&lt;"&amp;TODAY(),'Bug Tracker'!$L$2:$L$200,"&lt;&gt;Closed",'Bug Tracker'!$L$2:$L$200,"&lt;&gt;Fixed",'Bug Tracker'!$A$2:$A$200,"&lt;&gt;")</f>
        <v>7</v>
      </c>
      <c r="C9" s="13" t="s">
        <v>118</v>
      </c>
    </row>
    <row r="10" ht="13.5" customHeight="1"/>
    <row r="11" ht="13.5" customHeight="1"/>
    <row r="12" ht="13.5" customHeight="1">
      <c r="A12" s="10" t="s">
        <v>11</v>
      </c>
      <c r="B12" s="10" t="s">
        <v>119</v>
      </c>
      <c r="D12" s="10" t="s">
        <v>10</v>
      </c>
      <c r="E12" s="10" t="s">
        <v>119</v>
      </c>
      <c r="G12" s="10" t="s">
        <v>3</v>
      </c>
      <c r="H12" s="10" t="s">
        <v>119</v>
      </c>
    </row>
    <row r="13" ht="13.5" customHeight="1">
      <c r="A13" s="13" t="s">
        <v>33</v>
      </c>
      <c r="B13" s="13">
        <f>COUNTIF('Bug Tracker'!$L$2:$L$200,A13)</f>
        <v>10</v>
      </c>
      <c r="D13" s="13" t="s">
        <v>41</v>
      </c>
      <c r="E13" s="13">
        <f>COUNTIF('Bug Tracker'!$K$2:$K$200,D13)</f>
        <v>5</v>
      </c>
      <c r="G13" s="13" t="s">
        <v>25</v>
      </c>
      <c r="H13" s="13">
        <f>COUNTIF('Bug Tracker'!$D$2:$D$200,G13)</f>
        <v>8</v>
      </c>
    </row>
    <row r="14" ht="13.5" customHeight="1">
      <c r="A14" s="13" t="s">
        <v>120</v>
      </c>
      <c r="B14" s="13">
        <f>COUNTIF('Bug Tracker'!$L$2:$L$200,A14)</f>
        <v>0</v>
      </c>
      <c r="D14" s="13" t="s">
        <v>32</v>
      </c>
      <c r="E14" s="13">
        <f>COUNTIF('Bug Tracker'!$K$2:$K$200,D14)</f>
        <v>4</v>
      </c>
      <c r="G14" s="13" t="s">
        <v>90</v>
      </c>
      <c r="H14" s="13">
        <f>COUNTIF('Bug Tracker'!$D$2:$D$200,G14)</f>
        <v>2</v>
      </c>
    </row>
    <row r="15" ht="13.5" customHeight="1">
      <c r="A15" s="13" t="s">
        <v>121</v>
      </c>
      <c r="B15" s="13">
        <f>COUNTIF('Bug Tracker'!$L$2:$L$200,A15)</f>
        <v>0</v>
      </c>
      <c r="D15" s="13" t="s">
        <v>77</v>
      </c>
      <c r="E15" s="13">
        <f>COUNTIF('Bug Tracker'!$K$2:$K$200,D15)</f>
        <v>1</v>
      </c>
      <c r="G15" s="13" t="s">
        <v>82</v>
      </c>
      <c r="H15" s="13">
        <f>COUNTIF('Bug Tracker'!$D$2:$D$200,G15)</f>
        <v>1</v>
      </c>
    </row>
    <row r="16" ht="13.5" customHeight="1">
      <c r="A16" s="13" t="s">
        <v>122</v>
      </c>
      <c r="B16" s="13">
        <f>COUNTIF('Bug Tracker'!$L$2:$L$200,A16)</f>
        <v>0</v>
      </c>
      <c r="D16" s="13" t="s">
        <v>123</v>
      </c>
      <c r="E16" s="13">
        <f>COUNTIF('Bug Tracker'!$K$2:$K$200,D16)</f>
        <v>0</v>
      </c>
    </row>
    <row r="17" ht="13.5" customHeight="1">
      <c r="A17" s="13" t="s">
        <v>124</v>
      </c>
      <c r="B17" s="13">
        <f>COUNTIF('Bug Tracker'!$L$2:$L$200,A17)</f>
        <v>0</v>
      </c>
    </row>
    <row r="18" ht="13.5" customHeight="1">
      <c r="A18" s="13" t="s">
        <v>125</v>
      </c>
      <c r="B18" s="13">
        <f>COUNTIF('Bug Tracker'!$L$2:$L$200,A18)</f>
        <v>0</v>
      </c>
    </row>
    <row r="19" ht="13.5" customHeight="1">
      <c r="A19" s="13" t="s">
        <v>126</v>
      </c>
      <c r="B19" s="13">
        <f>COUNTIF('Bug Tracker'!$L$2:$L$200,A19)</f>
        <v>0</v>
      </c>
    </row>
    <row r="20" ht="13.5" customHeight="1">
      <c r="A20" s="13" t="s">
        <v>127</v>
      </c>
      <c r="B20" s="13">
        <f>COUNTIF('Bug Tracker'!$L$2:$L$200,A20)</f>
        <v>0</v>
      </c>
    </row>
    <row r="21" ht="13.5" customHeight="1">
      <c r="A21" s="13" t="s">
        <v>128</v>
      </c>
      <c r="B21" s="13">
        <f>COUNTIF('Bug Tracker'!$L$2:$L$200,A21)</f>
        <v>0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0.0"/>
    <col customWidth="1" min="7" max="26" width="8.63"/>
  </cols>
  <sheetData>
    <row r="1" ht="13.5" customHeight="1">
      <c r="A1" s="14" t="s">
        <v>11</v>
      </c>
      <c r="B1" s="14" t="s">
        <v>10</v>
      </c>
      <c r="C1" s="14" t="s">
        <v>9</v>
      </c>
      <c r="D1" s="14" t="s">
        <v>3</v>
      </c>
      <c r="E1" s="14" t="s">
        <v>4</v>
      </c>
      <c r="F1" s="14" t="s">
        <v>129</v>
      </c>
    </row>
    <row r="2" ht="13.5" customHeight="1">
      <c r="A2" s="15" t="s">
        <v>33</v>
      </c>
      <c r="B2" s="15" t="s">
        <v>41</v>
      </c>
      <c r="C2" s="15" t="s">
        <v>130</v>
      </c>
      <c r="D2" s="15" t="s">
        <v>25</v>
      </c>
      <c r="E2" s="15" t="s">
        <v>131</v>
      </c>
      <c r="F2" s="15" t="s">
        <v>132</v>
      </c>
    </row>
    <row r="3" ht="13.5" customHeight="1">
      <c r="A3" s="15" t="s">
        <v>120</v>
      </c>
      <c r="B3" s="15" t="s">
        <v>32</v>
      </c>
      <c r="C3" s="15" t="s">
        <v>41</v>
      </c>
      <c r="D3" s="15" t="s">
        <v>25</v>
      </c>
      <c r="E3" s="15" t="s">
        <v>26</v>
      </c>
      <c r="F3" s="15" t="s">
        <v>133</v>
      </c>
    </row>
    <row r="4" ht="13.5" customHeight="1">
      <c r="A4" s="15" t="s">
        <v>121</v>
      </c>
      <c r="B4" s="15" t="s">
        <v>77</v>
      </c>
      <c r="C4" s="15" t="s">
        <v>31</v>
      </c>
      <c r="D4" s="15" t="s">
        <v>25</v>
      </c>
      <c r="E4" s="15" t="s">
        <v>36</v>
      </c>
      <c r="F4" s="15" t="s">
        <v>134</v>
      </c>
    </row>
    <row r="5" ht="13.5" customHeight="1">
      <c r="A5" s="15" t="s">
        <v>122</v>
      </c>
      <c r="B5" s="15" t="s">
        <v>123</v>
      </c>
      <c r="C5" s="15" t="s">
        <v>76</v>
      </c>
      <c r="D5" s="15" t="s">
        <v>25</v>
      </c>
      <c r="E5" s="15" t="s">
        <v>135</v>
      </c>
      <c r="F5" s="15" t="s">
        <v>136</v>
      </c>
    </row>
    <row r="6" ht="13.5" customHeight="1">
      <c r="A6" s="15" t="s">
        <v>124</v>
      </c>
      <c r="C6" s="15" t="s">
        <v>137</v>
      </c>
      <c r="D6" s="15" t="s">
        <v>25</v>
      </c>
      <c r="E6" s="15" t="s">
        <v>51</v>
      </c>
    </row>
    <row r="7" ht="13.5" customHeight="1">
      <c r="A7" s="15" t="s">
        <v>125</v>
      </c>
      <c r="D7" s="15" t="s">
        <v>25</v>
      </c>
      <c r="E7" s="15" t="s">
        <v>138</v>
      </c>
    </row>
    <row r="8" ht="13.5" customHeight="1">
      <c r="A8" s="15" t="s">
        <v>126</v>
      </c>
      <c r="D8" s="15" t="s">
        <v>90</v>
      </c>
      <c r="E8" s="15" t="s">
        <v>97</v>
      </c>
    </row>
    <row r="9" ht="13.5" customHeight="1">
      <c r="A9" s="15" t="s">
        <v>127</v>
      </c>
      <c r="D9" s="15" t="s">
        <v>90</v>
      </c>
      <c r="E9" s="15" t="s">
        <v>139</v>
      </c>
    </row>
    <row r="10" ht="13.5" customHeight="1">
      <c r="A10" s="15" t="s">
        <v>128</v>
      </c>
      <c r="D10" s="15" t="s">
        <v>90</v>
      </c>
      <c r="E10" s="15" t="s">
        <v>140</v>
      </c>
    </row>
    <row r="11" ht="13.5" customHeight="1">
      <c r="D11" s="15" t="s">
        <v>90</v>
      </c>
      <c r="E11" s="15" t="s">
        <v>141</v>
      </c>
    </row>
    <row r="12" ht="13.5" customHeight="1">
      <c r="D12" s="15" t="s">
        <v>90</v>
      </c>
      <c r="E12" s="15" t="s">
        <v>65</v>
      </c>
    </row>
    <row r="13" ht="13.5" customHeight="1">
      <c r="D13" s="15" t="s">
        <v>82</v>
      </c>
      <c r="E13" s="15" t="s">
        <v>142</v>
      </c>
    </row>
    <row r="14" ht="13.5" customHeight="1">
      <c r="D14" s="15" t="s">
        <v>82</v>
      </c>
      <c r="E14" s="15" t="s">
        <v>143</v>
      </c>
    </row>
    <row r="15" ht="13.5" customHeight="1">
      <c r="E15" s="16" t="s">
        <v>83</v>
      </c>
    </row>
    <row r="16" ht="13.5" customHeight="1">
      <c r="E16" s="16" t="s">
        <v>91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0.0"/>
    <col customWidth="1" min="3" max="26" width="8.63"/>
  </cols>
  <sheetData>
    <row r="1" ht="13.5" customHeight="1">
      <c r="A1" s="17" t="s">
        <v>144</v>
      </c>
      <c r="B1" s="8"/>
      <c r="C1" s="8"/>
      <c r="D1" s="8"/>
      <c r="E1" s="8"/>
      <c r="F1" s="9"/>
    </row>
    <row r="2" ht="13.5" customHeight="1"/>
    <row r="3" ht="13.5" customHeight="1">
      <c r="A3" s="10" t="s">
        <v>145</v>
      </c>
      <c r="B3" s="10" t="s">
        <v>146</v>
      </c>
    </row>
    <row r="4" ht="13.5" customHeight="1">
      <c r="A4" s="13" t="s">
        <v>147</v>
      </c>
      <c r="B4" s="13" t="s">
        <v>148</v>
      </c>
    </row>
    <row r="5" ht="13.5" customHeight="1">
      <c r="A5" s="13" t="s">
        <v>149</v>
      </c>
      <c r="B5" s="13" t="s">
        <v>150</v>
      </c>
    </row>
    <row r="6" ht="13.5" customHeight="1">
      <c r="A6" s="13" t="s">
        <v>151</v>
      </c>
      <c r="B6" s="13" t="s">
        <v>152</v>
      </c>
    </row>
    <row r="7" ht="13.5" customHeight="1">
      <c r="A7" s="13" t="s">
        <v>153</v>
      </c>
      <c r="B7" s="13" t="s">
        <v>154</v>
      </c>
    </row>
    <row r="8" ht="13.5" customHeight="1">
      <c r="A8" s="13" t="s">
        <v>155</v>
      </c>
      <c r="B8" s="13" t="s">
        <v>156</v>
      </c>
    </row>
    <row r="9" ht="13.5" customHeight="1">
      <c r="A9" s="13" t="s">
        <v>157</v>
      </c>
      <c r="B9" s="13" t="s">
        <v>158</v>
      </c>
    </row>
    <row r="10" ht="13.5" customHeight="1">
      <c r="A10" s="13" t="s">
        <v>159</v>
      </c>
      <c r="B10" s="13" t="s">
        <v>160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2026-05-31T20:03:10Z</dcterms:created>
  <dc:creator>cynthia okoduwa</dc:creator>
</cp:coreProperties>
</file>